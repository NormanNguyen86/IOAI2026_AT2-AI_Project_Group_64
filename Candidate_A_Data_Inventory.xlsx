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ata inventory (A)" sheetId="1" state="visible" r:id="rId1"/>
    <sheet xmlns:r="http://schemas.openxmlformats.org/officeDocument/2006/relationships" name="2 One training sample (A)" sheetId="2" state="visible" r:id="rId2"/>
    <sheet xmlns:r="http://schemas.openxmlformats.org/officeDocument/2006/relationships" name="3 Same data, three set-ups" sheetId="3" state="visible" r:id="rId3"/>
    <sheet xmlns:r="http://schemas.openxmlformats.org/officeDocument/2006/relationships" name="4 Open questions" sheetId="4" state="visible" r:id="rId4"/>
    <sheet xmlns:r="http://schemas.openxmlformats.org/officeDocument/2006/relationships" name="5 Source check (link by link)" sheetId="5" state="visible" r:id="rId5"/>
    <sheet xmlns:r="http://schemas.openxmlformats.org/officeDocument/2006/relationships" name="6 How one sample is built"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color rgb="000000FF"/>
      <sz val="10"/>
    </font>
    <font>
      <name val="Arial"/>
      <b val="1"/>
      <sz val="10"/>
    </font>
  </fonts>
  <fills count="6">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3"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4" customWidth="1" min="3" max="3"/>
    <col width="16" customWidth="1" min="4" max="4"/>
    <col width="24" customWidth="1" min="5" max="5"/>
    <col width="24" customWidth="1" min="6" max="6"/>
    <col width="30" customWidth="1" min="7" max="7"/>
    <col width="30" customWidth="1" min="8" max="8"/>
    <col width="32" customWidth="1" min="9" max="9"/>
    <col width="44" customWidth="1" min="10" max="10"/>
    <col width="24" customWidth="1" min="11" max="11"/>
    <col width="22" customWidth="1" min="12" max="12"/>
  </cols>
  <sheetData>
    <row r="1" ht="32" customHeight="1">
      <c r="A1" s="1" t="inlineStr">
        <is>
          <t>ID</t>
        </is>
      </c>
      <c r="B1" s="1" t="inlineStr">
        <is>
          <t>Dataset</t>
        </is>
      </c>
      <c r="C1" s="1" t="inlineStr">
        <is>
          <t>Provider</t>
        </is>
      </c>
      <c r="D1" s="1" t="inlineStr">
        <is>
          <t>Role</t>
        </is>
      </c>
      <c r="E1" s="1" t="inlineStr">
        <is>
          <t>Data type / format</t>
        </is>
      </c>
      <c r="F1" s="1" t="inlineStr">
        <is>
          <t>Resolution (space, time)</t>
        </is>
      </c>
      <c r="G1" s="1" t="inlineStr">
        <is>
          <t>Used in Candidate A as</t>
        </is>
      </c>
      <c r="H1" s="1" t="inlineStr">
        <is>
          <t>What the draft specifies</t>
        </is>
      </c>
      <c r="I1" s="1" t="inlineStr">
        <is>
          <t>What the draft does NOT specify</t>
        </is>
      </c>
      <c r="J1" s="1" t="inlineStr">
        <is>
          <t>Access route found (checked 16 Oct 2026)</t>
        </is>
      </c>
      <c r="K1" s="1" t="inlineStr">
        <is>
          <t>Licence / cost</t>
        </is>
      </c>
      <c r="L1" s="1" t="inlineStr">
        <is>
          <t>Status</t>
        </is>
      </c>
    </row>
    <row r="2">
      <c r="A2" s="2" t="inlineStr">
        <is>
          <t>D1</t>
        </is>
      </c>
      <c r="B2" s="2" t="inlineStr">
        <is>
          <t>Weather radar rainfall</t>
        </is>
      </c>
      <c r="C2" s="2" t="inlineStr">
        <is>
          <t>Bureau of Meteorology (BoM)</t>
        </is>
      </c>
      <c r="D2" s="2" t="inlineStr">
        <is>
          <t>Dynamic input</t>
        </is>
      </c>
      <c r="E2" s="2" t="inlineStr">
        <is>
          <t>About 500 m (Rainfields3 page); draft says about 1 km. Time step not stated in the sources read; rain RATE in mm/h (pysteps)</t>
        </is>
      </c>
      <c r="F2" s="2" t="inlineStr">
        <is>
          <t>About 1 km; every 5 to 10 min (per draft Figure 2)</t>
        </is>
      </c>
      <c r="G2" s="2" t="inlineStr">
        <is>
          <t>Channels 1-3: rain summed over last 1, 3, 6 h, resampled to 250 m</t>
        </is>
      </c>
      <c r="H2" s="2" t="inlineStr">
        <is>
          <t>Provider, resolution, update rate, how it is processed</t>
        </is>
      </c>
      <c r="I2" s="2" t="inlineStr">
        <is>
          <t>Rainfields3 (radar merged with rain gauges), NetCDF at NCI (THREDDS catalogue rq0/rainfields3 exists; contents and access terms not readable); BoM user guide: 5-min and 1-h accumulations for some radars, registered users</t>
        </is>
      </c>
      <c r="J2" s="2" t="inlineStr">
        <is>
          <t>BoM radar user guide lists 5-min and 1-h rainfield accumulations, but only for some radars; via registered FTP/SFTP or anonymous FTP. The guide does not mention a historical archive.</t>
        </is>
      </c>
      <c r="K2" s="2" t="inlineStr">
        <is>
          <t>Not stated</t>
        </is>
      </c>
      <c r="L2" s="4" t="inlineStr">
        <is>
          <t>Partly: product identified, access and time step unconfirmed</t>
        </is>
      </c>
    </row>
    <row r="3">
      <c r="A3" s="2" t="inlineStr">
        <is>
          <t>D2</t>
        </is>
      </c>
      <c r="B3" s="2" t="inlineStr">
        <is>
          <t>Soil moisture (AWRA-L)</t>
        </is>
      </c>
      <c r="C3" s="2" t="inlineStr">
        <is>
          <t>BoM (Australian Landscape Water Balance)</t>
        </is>
      </c>
      <c r="D3" s="2" t="inlineStr">
        <is>
          <t>Dynamic input</t>
        </is>
      </c>
      <c r="E3" s="2" t="inlineStr">
        <is>
          <t>Gridded raster (soil moisture, converted to saturation 0-1)</t>
        </is>
      </c>
      <c r="F3" s="2" t="inlineStr">
        <is>
          <t>5 km; daily</t>
        </is>
      </c>
      <c r="G3" s="2" t="inlineStr">
        <is>
          <t>Channel 9: saturation, interpolated to 250 m</t>
        </is>
      </c>
      <c r="H3" s="2" t="inlineStr">
        <is>
          <t>Provider, resolution, conversion to saturation</t>
        </is>
      </c>
      <c r="I3" s="2" t="inlineStr">
        <is>
          <t>Which AWRA-L layer/version; study period</t>
        </is>
      </c>
      <c r="J3" s="2" t="inlineStr">
        <is>
          <t>Past 10 years downloadable from BoM site; longer series on request (awrams@bom.gov.au). Data from 1911.</t>
        </is>
      </c>
      <c r="K3" s="2" t="inlineStr">
        <is>
          <t>Info sheet is CC BY; data licence not separately stated</t>
        </is>
      </c>
      <c r="L3" s="4" t="inlineStr">
        <is>
          <t>Partly: access known, licence unclear</t>
        </is>
      </c>
    </row>
    <row r="4">
      <c r="A4" s="2" t="inlineStr">
        <is>
          <t>D3</t>
        </is>
      </c>
      <c r="B4" s="2" t="inlineStr">
        <is>
          <t>Elevation model DEM-S (1 s SRTM-derived, smoothed)</t>
        </is>
      </c>
      <c r="C4" s="2" t="inlineStr">
        <is>
          <t>Geoscience Australia</t>
        </is>
      </c>
      <c r="D4" s="2" t="inlineStr">
        <is>
          <t>Static input</t>
        </is>
      </c>
      <c r="E4" s="2" t="inlineStr">
        <is>
          <t>Gridded raster (height, m)</t>
        </is>
      </c>
      <c r="F4" s="2" t="inlineStr">
        <is>
          <t>1 arc-second, about 30 m; static</t>
        </is>
      </c>
      <c r="G4" s="2" t="inlineStr">
        <is>
          <t>Channels 4 (elevation), 5 (slope), 6 (flow accumulation), 10 (catchment mask) all derived</t>
        </is>
      </c>
      <c r="H4" s="2" t="inlineStr">
        <is>
          <t>Provider, resolution, derivation steps (Gallant et al., 2011)</t>
        </is>
      </c>
      <c r="I4" s="2" t="inlineStr">
        <is>
          <t>Which outlets (bridges, creeks) define the catchments; how many</t>
        </is>
      </c>
      <c r="J4" s="2" t="inlineStr">
        <is>
          <t>DEA: product ga_srtm_dem1sv1_0, 0.00027 deg (about 30 m), EPSG:4326, AWS download (dea-public-data) or Open Data Cube</t>
        </is>
      </c>
      <c r="K4" s="2" t="inlineStr">
        <is>
          <t>CC BY 4.0 (DEA page)</t>
        </is>
      </c>
      <c r="L4" s="5" t="inlineStr">
        <is>
          <t>Confirmed: exists, licence found</t>
        </is>
      </c>
    </row>
    <row r="5">
      <c r="A5" s="2" t="inlineStr">
        <is>
          <t>D4</t>
        </is>
      </c>
      <c r="B5" s="2" t="inlineStr">
        <is>
          <t>Soil grid: saturated hydraulic conductivity</t>
        </is>
      </c>
      <c r="C5" s="2" t="inlineStr">
        <is>
          <t>CSIRO / TERN (Soil and Landscape Grid of Australia)</t>
        </is>
      </c>
      <c r="D5" s="2" t="inlineStr">
        <is>
          <t>Gridded raster; no saturated hydraulic conductivity layer</t>
        </is>
      </c>
      <c r="E5" s="2" t="inlineStr">
        <is>
          <t>Gridded raster (mm/h)</t>
        </is>
      </c>
      <c r="F5" s="2" t="inlineStr">
        <is>
          <t>About 90 m; static</t>
        </is>
      </c>
      <c r="G5" s="2" t="inlineStr">
        <is>
          <t>Channel 7: infiltration, aggregated to 250 m</t>
        </is>
      </c>
      <c r="H5" s="2" t="inlineStr">
        <is>
          <t>Provider, resolution (Grundy et al., 2015)</t>
        </is>
      </c>
      <c r="I5" s="2" t="inlineStr">
        <is>
          <t>Exact layer used</t>
        </is>
      </c>
      <c r="J5" s="2" t="inlineStr">
        <is>
          <t>CSIRO page, Grundy et al. (2015) abstract and Earth Engine catalogue list: bulk density, organic carbon, clay, silt, sand, pH, available water capacity, N, P, cation exchange, depth of soil and regolith; six depth layers to 2 m. No hydraulic conductivity.</t>
        </is>
      </c>
      <c r="K5" s="2" t="inlineStr">
        <is>
          <t>CC BY (Earth Engine catalogue)</t>
        </is>
      </c>
      <c r="L5" s="3" t="inlineStr">
        <is>
          <t>No: layer for channel 7 not in this source</t>
        </is>
      </c>
    </row>
    <row r="6">
      <c r="A6" s="2" t="inlineStr">
        <is>
          <t>D5</t>
        </is>
      </c>
      <c r="B6" s="2" t="inlineStr">
        <is>
          <t>DEA Land Cover (Geoscience Australia), proposed</t>
        </is>
      </c>
      <c r="C6" s="2" t="inlineStr">
        <is>
          <t>'Source to confirm' (Figure 2)</t>
        </is>
      </c>
      <c r="D6" s="2" t="inlineStr">
        <is>
          <t>Static input</t>
        </is>
      </c>
      <c r="E6" s="2" t="inlineStr">
        <is>
          <t>30 m in current version 2.0.0 (25 m was version 1); annual 1988 to 2025</t>
        </is>
      </c>
      <c r="F6" s="2" t="inlineStr">
        <is>
          <t>Not stated</t>
        </is>
      </c>
      <c r="G6" s="2" t="inlineStr">
        <is>
          <t>Channel 8: share of each cell sealed by roads and roofs</t>
        </is>
      </c>
      <c r="H6" s="2" t="inlineStr">
        <is>
          <t>Only that a source is to be confirmed</t>
        </is>
      </c>
      <c r="I6" s="2" t="inlineStr">
        <is>
          <t>The source itself</t>
        </is>
      </c>
      <c r="J6" s="2" t="inlineStr">
        <is>
          <t>AWS S3 (dea-public-data), NCI THREDDS, Open Data Cube, DEA Maps. Categorical classes; 'Artificial Surface' class; no impervious fraction layer</t>
        </is>
      </c>
      <c r="K6" s="2" t="inlineStr">
        <is>
          <t>CC BY 4.0</t>
        </is>
      </c>
      <c r="L6" s="4" t="inlineStr">
        <is>
          <t>Partly: fraction must be derived from the Artificial Surface class</t>
        </is>
      </c>
    </row>
    <row r="7">
      <c r="A7" s="2" t="inlineStr">
        <is>
          <t>D6</t>
        </is>
      </c>
      <c r="B7" s="2" t="inlineStr">
        <is>
          <t>Catchment outlets and boundaries</t>
        </is>
      </c>
      <c r="C7" s="2" t="inlineStr">
        <is>
          <t>Derived from D3 (draft); no external set named</t>
        </is>
      </c>
      <c r="D7" s="2" t="inlineStr">
        <is>
          <t>Static input</t>
        </is>
      </c>
      <c r="E7" s="2" t="inlineStr">
        <is>
          <t>Vector points + mask raster</t>
        </is>
      </c>
      <c r="F7" s="2" t="inlineStr">
        <is>
          <t>Per outlet</t>
        </is>
      </c>
      <c r="G7" s="2" t="inlineStr">
        <is>
          <t>Channel 10 mask; tile centred on catchment</t>
        </is>
      </c>
      <c r="H7" s="2" t="inlineStr">
        <is>
          <t>Method: follow drainage upstream from a chosen outlet</t>
        </is>
      </c>
      <c r="I7" s="2" t="inlineStr">
        <is>
          <t>Which outlets; how many; NSW region or valleys</t>
        </is>
      </c>
      <c r="J7" s="2" t="inlineStr">
        <is>
          <t>None</t>
        </is>
      </c>
      <c r="K7" s="2" t="inlineStr">
        <is>
          <t>n/a</t>
        </is>
      </c>
      <c r="L7" s="3" t="inlineStr">
        <is>
          <t>Not named</t>
        </is>
      </c>
    </row>
    <row r="8">
      <c r="A8" s="2" t="inlineStr">
        <is>
          <t>D7</t>
        </is>
      </c>
      <c r="B8" s="2" t="inlineStr">
        <is>
          <t>Recorded flash flood events (labels)</t>
        </is>
      </c>
      <c r="C8" s="2" t="inlineStr">
        <is>
          <t>'Flood records' (no provider named)</t>
        </is>
      </c>
      <c r="D8" s="2" t="inlineStr">
        <is>
          <t>Label</t>
        </is>
      </c>
      <c r="E8" s="2" t="inlineStr">
        <is>
          <t>Event table: catchment, start/end time (expected)</t>
        </is>
      </c>
      <c r="F8" s="2" t="inlineStr">
        <is>
          <t>Event level; needs hourly timing for a 6 h target</t>
        </is>
      </c>
      <c r="G8" s="2" t="inlineStr">
        <is>
          <t>Binary label: 1 if a flash flood is recorded in the catchment within the next 6 h</t>
        </is>
      </c>
      <c r="H8" s="2" t="inlineStr">
        <is>
          <t>Label definition (6 h window); loss weighted to flood class</t>
        </is>
      </c>
      <c r="I8" s="2" t="inlineStr">
        <is>
          <t>Source of records; time period; number of events; positive rate; how times are known</t>
        </is>
      </c>
      <c r="J8" s="2" t="inlineStr">
        <is>
          <t>Candidate approaches only (agency records, gauge-threshold detection, news-derived events); none chosen</t>
        </is>
      </c>
      <c r="K8" s="2" t="inlineStr">
        <is>
          <t>Unknown</t>
        </is>
      </c>
      <c r="L8" s="3" t="inlineStr">
        <is>
          <t>Not named</t>
        </is>
      </c>
    </row>
    <row r="9">
      <c r="A9" s="2" t="inlineStr">
        <is>
          <t>D8</t>
        </is>
      </c>
      <c r="B9" s="2" t="inlineStr">
        <is>
          <t>Sentinel-1 flood maps</t>
        </is>
      </c>
      <c r="C9" s="2" t="inlineStr">
        <is>
          <t>ESA Copernicus</t>
        </is>
      </c>
      <c r="D9" s="2" t="inlineStr">
        <is>
          <t>Label check / ground truth after events</t>
        </is>
      </c>
      <c r="E9" s="2" t="inlineStr">
        <is>
          <t>Raster water extent</t>
        </is>
      </c>
      <c r="F9" s="2" t="inlineStr">
        <is>
          <t>10 to 20 m class; revisit every few days (ESA, n.d.)</t>
        </is>
      </c>
      <c r="G9" s="2" t="inlineStr">
        <is>
          <t>Not an input. Check of labels (draft Table 6, 'we use it to check labels')</t>
        </is>
      </c>
      <c r="H9" s="2" t="inlineStr">
        <is>
          <t>Role as post-event ground truth</t>
        </is>
      </c>
      <c r="I9" s="2" t="inlineStr">
        <is>
          <t>How it is matched to event labels</t>
        </is>
      </c>
      <c r="J9" s="2" t="inlineStr">
        <is>
          <t>ESA revisit page cited in draft</t>
        </is>
      </c>
      <c r="K9" s="2" t="inlineStr">
        <is>
          <t>Free and open (Copernicus)</t>
        </is>
      </c>
      <c r="L9" s="4" t="inlineStr">
        <is>
          <t>Partly: gives where flooded, not which 6 h window</t>
        </is>
      </c>
    </row>
    <row r="10">
      <c r="A10" s="2" t="inlineStr">
        <is>
          <t>D9</t>
        </is>
      </c>
      <c r="B10" s="2" t="inlineStr">
        <is>
          <t>Rain gauges</t>
        </is>
      </c>
      <c r="C10" s="2" t="inlineStr">
        <is>
          <t>Not named</t>
        </is>
      </c>
      <c r="D10" s="2" t="inlineStr">
        <is>
          <t>Input listed in 'Common inputs'</t>
        </is>
      </c>
      <c r="E10" s="2" t="inlineStr">
        <is>
          <t>Point time series</t>
        </is>
      </c>
      <c r="F10" s="2" t="inlineStr">
        <is>
          <t>Not stated</t>
        </is>
      </c>
      <c r="G10" s="2" t="inlineStr">
        <is>
          <t>Not used in A's ten channels</t>
        </is>
      </c>
      <c r="H10" s="2" t="inlineStr">
        <is>
          <t>Listed as a shared input and in FR-2</t>
        </is>
      </c>
      <c r="I10" s="2" t="inlineStr">
        <is>
          <t>Source, stations, how used by any candidate</t>
        </is>
      </c>
      <c r="J10" s="2" t="inlineStr">
        <is>
          <t>None</t>
        </is>
      </c>
      <c r="K10" s="2" t="inlineStr">
        <is>
          <t>Unknown</t>
        </is>
      </c>
      <c r="L10" s="3" t="inlineStr">
        <is>
          <t>Not named</t>
        </is>
      </c>
    </row>
    <row r="11">
      <c r="A11" s="2" t="inlineStr">
        <is>
          <t>D10</t>
        </is>
      </c>
      <c r="B11" s="2" t="inlineStr">
        <is>
          <t>Held-out test event: Lismore flood, 22 Feb 2022</t>
        </is>
      </c>
      <c r="C11" s="2" t="inlineStr">
        <is>
          <t>AIDR (Knowledge Hub)</t>
        </is>
      </c>
      <c r="D11" s="2" t="inlineStr">
        <is>
          <t>Test set</t>
        </is>
      </c>
      <c r="E11" s="2" t="inlineStr">
        <is>
          <t>Single event</t>
        </is>
      </c>
      <c r="F11" s="2" t="inlineStr">
        <is>
          <t>n/a</t>
        </is>
      </c>
      <c r="G11" s="2" t="inlineStr">
        <is>
          <t>Held out as unseen extreme event</t>
        </is>
      </c>
      <c r="H11" s="2" t="inlineStr">
        <is>
          <t>Event named, with [check data availability]</t>
        </is>
      </c>
      <c r="I11" s="2" t="inlineStr">
        <is>
          <t>Whether radar, soil and label data exist for it</t>
        </is>
      </c>
      <c r="J11" s="2" t="inlineStr">
        <is>
          <t>AIDR page cited in draft</t>
        </is>
      </c>
      <c r="K11" s="2" t="inlineStr">
        <is>
          <t>n/a</t>
        </is>
      </c>
      <c r="L11" s="3" t="inlineStr">
        <is>
          <t>Unconfirmed: data availability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70" customWidth="1" min="2" max="2"/>
    <col width="34" customWidth="1" min="3" max="3"/>
    <col width="14" customWidth="1" min="4" max="4"/>
    <col width="26" customWidth="1" min="5" max="5"/>
  </cols>
  <sheetData>
    <row r="1">
      <c r="A1" s="6" t="inlineStr">
        <is>
          <t>Field</t>
        </is>
      </c>
      <c r="B1" s="6" t="inlineStr">
        <is>
          <t>Content</t>
        </is>
      </c>
      <c r="C1" s="6" t="inlineStr">
        <is>
          <t>Shape / type</t>
        </is>
      </c>
      <c r="D1" s="6" t="inlineStr">
        <is>
          <t>Comes from</t>
        </is>
      </c>
      <c r="E1" s="6" t="inlineStr">
        <is>
          <t>Specified in draft?</t>
        </is>
      </c>
    </row>
    <row r="2">
      <c r="A2" s="7" t="inlineStr">
        <is>
          <t>sample_id</t>
        </is>
      </c>
      <c r="B2" s="7" t="inlineStr">
        <is>
          <t>One row per (catchment, issue time)</t>
        </is>
      </c>
      <c r="C2" s="7" t="inlineStr">
        <is>
          <t>string</t>
        </is>
      </c>
      <c r="D2" s="7" t="inlineStr">
        <is>
          <t>Constructed</t>
        </is>
      </c>
      <c r="E2" s="7" t="inlineStr">
        <is>
          <t>No</t>
        </is>
      </c>
    </row>
    <row r="3">
      <c r="A3" s="7" t="inlineStr">
        <is>
          <t>catchment_id / outlet</t>
        </is>
      </c>
      <c r="B3" s="7" t="inlineStr">
        <is>
          <t>Outlet whose upstream catchment is predicted</t>
        </is>
      </c>
      <c r="C3" s="7" t="inlineStr">
        <is>
          <t>string + lat/lon</t>
        </is>
      </c>
      <c r="D3" s="7" t="inlineStr">
        <is>
          <t>D6</t>
        </is>
      </c>
      <c r="E3" s="7" t="inlineStr">
        <is>
          <t>No: no outlet list</t>
        </is>
      </c>
    </row>
    <row r="4">
      <c r="A4" s="7" t="inlineStr">
        <is>
          <t>issue_time_utc</t>
        </is>
      </c>
      <c r="B4" s="7" t="inlineStr">
        <is>
          <t>Time the forecast is made; sets the 1/3/6 h rain windows and the 6 h label window</t>
        </is>
      </c>
      <c r="C4" s="7" t="inlineStr">
        <is>
          <t>datetime</t>
        </is>
      </c>
      <c r="D4" s="7" t="inlineStr">
        <is>
          <t>D1</t>
        </is>
      </c>
      <c r="E4" s="7" t="inlineStr">
        <is>
          <t>Implicit</t>
        </is>
      </c>
    </row>
    <row r="5">
      <c r="A5" s="7" t="inlineStr">
        <is>
          <t>ch1 radar rain 1 h</t>
        </is>
      </c>
      <c r="B5" s="7" t="inlineStr">
        <is>
          <t>Rain depth, mm</t>
        </is>
      </c>
      <c r="C5" s="7" t="inlineStr">
        <is>
          <t>64 x 64 float</t>
        </is>
      </c>
      <c r="D5" s="7" t="inlineStr">
        <is>
          <t>D1</t>
        </is>
      </c>
      <c r="E5" s="7" t="inlineStr">
        <is>
          <t>Yes (Table 5)</t>
        </is>
      </c>
    </row>
    <row r="6">
      <c r="A6" s="7" t="inlineStr">
        <is>
          <t>ch2 radar rain 3 h</t>
        </is>
      </c>
      <c r="B6" s="7" t="inlineStr">
        <is>
          <t>Rain depth, mm</t>
        </is>
      </c>
      <c r="C6" s="7" t="inlineStr">
        <is>
          <t>64 x 64 float</t>
        </is>
      </c>
      <c r="D6" s="7" t="inlineStr">
        <is>
          <t>D1</t>
        </is>
      </c>
      <c r="E6" s="7" t="inlineStr">
        <is>
          <t>Yes</t>
        </is>
      </c>
    </row>
    <row r="7">
      <c r="A7" s="7" t="inlineStr">
        <is>
          <t>ch3 radar rain 6 h</t>
        </is>
      </c>
      <c r="B7" s="7" t="inlineStr">
        <is>
          <t>Rain depth, mm</t>
        </is>
      </c>
      <c r="C7" s="7" t="inlineStr">
        <is>
          <t>64 x 64 float</t>
        </is>
      </c>
      <c r="D7" s="7" t="inlineStr">
        <is>
          <t>D1</t>
        </is>
      </c>
      <c r="E7" s="7" t="inlineStr">
        <is>
          <t>Yes</t>
        </is>
      </c>
    </row>
    <row r="8">
      <c r="A8" s="7" t="inlineStr">
        <is>
          <t>ch4 elevation</t>
        </is>
      </c>
      <c r="B8" s="7" t="inlineStr">
        <is>
          <t>Height, m</t>
        </is>
      </c>
      <c r="C8" s="7" t="inlineStr">
        <is>
          <t>64 x 64 float</t>
        </is>
      </c>
      <c r="D8" s="7" t="inlineStr">
        <is>
          <t>D3</t>
        </is>
      </c>
      <c r="E8" s="7" t="inlineStr">
        <is>
          <t>Yes</t>
        </is>
      </c>
    </row>
    <row r="9">
      <c r="A9" s="7" t="inlineStr">
        <is>
          <t>ch5 slope</t>
        </is>
      </c>
      <c r="B9" s="7" t="inlineStr">
        <is>
          <t>Degrees</t>
        </is>
      </c>
      <c r="C9" s="7" t="inlineStr">
        <is>
          <t>64 x 64 float</t>
        </is>
      </c>
      <c r="D9" s="7" t="inlineStr">
        <is>
          <t>D3</t>
        </is>
      </c>
      <c r="E9" s="7" t="inlineStr">
        <is>
          <t>Yes</t>
        </is>
      </c>
    </row>
    <row r="10">
      <c r="A10" s="7" t="inlineStr">
        <is>
          <t>ch6 flow accumulation</t>
        </is>
      </c>
      <c r="B10" s="7" t="inlineStr">
        <is>
          <t>Upstream area, km2 (log)</t>
        </is>
      </c>
      <c r="C10" s="7" t="inlineStr">
        <is>
          <t>64 x 64 float</t>
        </is>
      </c>
      <c r="D10" s="7" t="inlineStr">
        <is>
          <t>D3</t>
        </is>
      </c>
      <c r="E10" s="7" t="inlineStr">
        <is>
          <t>Yes</t>
        </is>
      </c>
    </row>
    <row r="11">
      <c r="A11" s="7" t="inlineStr">
        <is>
          <t>ch7 soil infiltration</t>
        </is>
      </c>
      <c r="B11" s="7" t="inlineStr">
        <is>
          <t>mm/h (log)</t>
        </is>
      </c>
      <c r="C11" s="7" t="inlineStr">
        <is>
          <t>64 x 64 float</t>
        </is>
      </c>
      <c r="D11" s="7" t="inlineStr">
        <is>
          <t>D4</t>
        </is>
      </c>
      <c r="E11" s="7" t="inlineStr">
        <is>
          <t>Yes</t>
        </is>
      </c>
    </row>
    <row r="12">
      <c r="A12" s="7" t="inlineStr">
        <is>
          <t>ch8 impervious fraction</t>
        </is>
      </c>
      <c r="B12" s="7" t="inlineStr">
        <is>
          <t>0 to 1</t>
        </is>
      </c>
      <c r="C12" s="7" t="inlineStr">
        <is>
          <t>64 x 64 float</t>
        </is>
      </c>
      <c r="D12" s="7" t="inlineStr">
        <is>
          <t>D5</t>
        </is>
      </c>
      <c r="E12" s="7" t="inlineStr">
        <is>
          <t>Yes (source unknown)</t>
        </is>
      </c>
    </row>
    <row r="13">
      <c r="A13" s="7" t="inlineStr">
        <is>
          <t>ch9 soil wetness</t>
        </is>
      </c>
      <c r="B13" s="7" t="inlineStr">
        <is>
          <t>Saturation 0 to 1</t>
        </is>
      </c>
      <c r="C13" s="7" t="inlineStr">
        <is>
          <t>64 x 64 float</t>
        </is>
      </c>
      <c r="D13" s="7" t="inlineStr">
        <is>
          <t>D2</t>
        </is>
      </c>
      <c r="E13" s="7" t="inlineStr">
        <is>
          <t>Yes</t>
        </is>
      </c>
    </row>
    <row r="14">
      <c r="A14" s="7" t="inlineStr">
        <is>
          <t>ch10 catchment mask</t>
        </is>
      </c>
      <c r="B14" s="7" t="inlineStr">
        <is>
          <t>1 inside catchment, 0 outside</t>
        </is>
      </c>
      <c r="C14" s="7" t="inlineStr">
        <is>
          <t>64 x 64 binary</t>
        </is>
      </c>
      <c r="D14" s="7" t="inlineStr">
        <is>
          <t>D6</t>
        </is>
      </c>
      <c r="E14" s="7" t="inlineStr">
        <is>
          <t>Yes</t>
        </is>
      </c>
    </row>
    <row r="15">
      <c r="A15" s="7" t="inlineStr">
        <is>
          <t>label</t>
        </is>
      </c>
      <c r="B15" s="7" t="inlineStr">
        <is>
          <t>1 if a flash flood is recorded in the catchment in (issue_time, issue_time + 6 h]</t>
        </is>
      </c>
      <c r="C15" s="7" t="inlineStr">
        <is>
          <t>0/1</t>
        </is>
      </c>
      <c r="D15" s="7" t="inlineStr">
        <is>
          <t>D7</t>
        </is>
      </c>
      <c r="E15" s="7" t="inlineStr">
        <is>
          <t>Definition yes; source no</t>
        </is>
      </c>
    </row>
    <row r="16">
      <c r="A16" s="7" t="inlineStr">
        <is>
          <t>event_id, split</t>
        </is>
      </c>
      <c r="B16" s="7" t="inlineStr">
        <is>
          <t>Event the sample belongs to; train / validation / test (split by event, Lismore held out)</t>
        </is>
      </c>
      <c r="C16" s="7" t="inlineStr">
        <is>
          <t>string</t>
        </is>
      </c>
      <c r="D16" s="7" t="inlineStr">
        <is>
          <t>T1</t>
        </is>
      </c>
      <c r="E16" s="7" t="inlineStr">
        <is>
          <t>Rule yes; assignment no</t>
        </is>
      </c>
    </row>
    <row r="17">
      <c r="A17" s="7" t="n"/>
      <c r="B17" s="7" t="n"/>
      <c r="C17" s="7" t="n"/>
      <c r="D17" s="7" t="n"/>
      <c r="E17" s="7" t="n"/>
    </row>
    <row r="18">
      <c r="A18" s="8" t="inlineStr">
        <is>
          <t>Size calculator (edit the blue cells)</t>
        </is>
      </c>
      <c r="B18" s="7" t="inlineStr"/>
      <c r="C18" s="7" t="inlineStr"/>
      <c r="D18" s="7" t="inlineStr"/>
      <c r="E18" s="7" t="inlineStr"/>
    </row>
    <row r="19">
      <c r="A19" s="7" t="inlineStr">
        <is>
          <t>Number of catchments</t>
        </is>
      </c>
      <c r="B19" s="9" t="n">
        <v>50</v>
      </c>
      <c r="C19" s="7" t="inlineStr">
        <is>
          <t>input (assumed)</t>
        </is>
      </c>
      <c r="D19" s="7" t="inlineStr"/>
      <c r="E19" s="7" t="inlineStr"/>
    </row>
    <row r="20">
      <c r="A20" s="7" t="inlineStr">
        <is>
          <t>Years of record</t>
        </is>
      </c>
      <c r="B20" s="9" t="n">
        <v>10</v>
      </c>
      <c r="C20" s="7" t="inlineStr">
        <is>
          <t>input (assumed)</t>
        </is>
      </c>
      <c r="D20" s="7" t="inlineStr"/>
      <c r="E20" s="7" t="inlineStr"/>
    </row>
    <row r="21">
      <c r="A21" s="7" t="inlineStr">
        <is>
          <t>Issue times per day</t>
        </is>
      </c>
      <c r="B21" s="9" t="n">
        <v>24</v>
      </c>
      <c r="C21" s="7" t="inlineStr">
        <is>
          <t>input (assumed: hourly)</t>
        </is>
      </c>
      <c r="D21" s="7" t="inlineStr"/>
      <c r="E21" s="7" t="inlineStr"/>
    </row>
    <row r="22">
      <c r="A22" s="7" t="inlineStr">
        <is>
          <t>Bytes per value (float32)</t>
        </is>
      </c>
      <c r="B22" s="9" t="n">
        <v>4</v>
      </c>
      <c r="C22" s="7" t="inlineStr"/>
      <c r="D22" s="7" t="inlineStr"/>
      <c r="E22" s="7" t="inlineStr"/>
    </row>
    <row r="23">
      <c r="A23" s="7" t="inlineStr">
        <is>
          <t>Samples</t>
        </is>
      </c>
      <c r="B23" s="10">
        <f>B19*B20*365*B21</f>
        <v/>
      </c>
      <c r="C23" s="7" t="inlineStr">
        <is>
          <t>catchments x years x 365 x issue times</t>
        </is>
      </c>
      <c r="D23" s="7" t="inlineStr"/>
      <c r="E23" s="7" t="inlineStr"/>
    </row>
    <row r="24">
      <c r="A24" s="7" t="inlineStr">
        <is>
          <t>Size of one tile (bytes)</t>
        </is>
      </c>
      <c r="B24" s="10">
        <f>10*64*64*B22</f>
        <v/>
      </c>
      <c r="C24" s="7" t="inlineStr">
        <is>
          <t>10 channels x 64 x 64 x bytes</t>
        </is>
      </c>
      <c r="D24" s="7" t="inlineStr"/>
      <c r="E24" s="7" t="inlineStr"/>
    </row>
    <row r="25">
      <c r="A25" s="7" t="inlineStr">
        <is>
          <t>Total storage (GB)</t>
        </is>
      </c>
      <c r="B25" s="11">
        <f>B23*B24/1e9</f>
        <v/>
      </c>
      <c r="C25" s="7" t="inlineStr">
        <is>
          <t>if every sample is stored</t>
        </is>
      </c>
      <c r="D25" s="7" t="inlineStr"/>
      <c r="E25"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4" customWidth="1" min="1" max="1"/>
    <col width="48" customWidth="1" min="2" max="2"/>
    <col width="52" customWidth="1" min="3" max="3"/>
    <col width="32" customWidth="1" min="4" max="4"/>
  </cols>
  <sheetData>
    <row r="1">
      <c r="A1" s="1" t="inlineStr">
        <is>
          <t>Aspect</t>
        </is>
      </c>
      <c r="B1" s="1" t="inlineStr">
        <is>
          <t>A: Computer vision</t>
        </is>
      </c>
      <c r="C1" s="1" t="inlineStr">
        <is>
          <t>B: Sequential</t>
        </is>
      </c>
      <c r="D1" s="1" t="inlineStr">
        <is>
          <t>C: Foundation model</t>
        </is>
      </c>
    </row>
    <row r="2">
      <c r="A2" s="2" t="inlineStr">
        <is>
          <t>Unit of one sample</t>
        </is>
      </c>
      <c r="B2" s="2" t="inlineStr">
        <is>
          <t>Catchment tile at one issue time</t>
        </is>
      </c>
      <c r="C2" s="2" t="inlineStr">
        <is>
          <t>Catchment sequence ending at one issue time</t>
        </is>
      </c>
      <c r="D2" s="2" t="inlineStr">
        <is>
          <t>[To be decided by Candidate C owner]</t>
        </is>
      </c>
    </row>
    <row r="3">
      <c r="A3" s="2" t="inlineStr">
        <is>
          <t>Shape</t>
        </is>
      </c>
      <c r="B3" s="2" t="inlineStr">
        <is>
          <t>10 x 64 x 64</t>
        </is>
      </c>
      <c r="C3" s="2" t="inlineStr">
        <is>
          <t>72 steps x about 4 dynamic features + about 5 static</t>
        </is>
      </c>
      <c r="D3" s="2" t="inlineStr">
        <is>
          <t>[ ]</t>
        </is>
      </c>
    </row>
    <row r="4">
      <c r="A4" s="2" t="inlineStr">
        <is>
          <t>Dynamic inputs</t>
        </is>
      </c>
      <c r="B4" s="2" t="inlineStr">
        <is>
          <t>Radar rain 1/3/6 h windows; soil wetness (D1, D2)</t>
        </is>
      </c>
      <c r="C4" s="2" t="inlineStr">
        <is>
          <t>Hourly catchment-mean rain; peak 10-min rate; soil wetness (daily, repeated); hours since rain (D1, D2)</t>
        </is>
      </c>
      <c r="D4" s="2" t="inlineStr">
        <is>
          <t>[ ]</t>
        </is>
      </c>
    </row>
    <row r="5">
      <c r="A5" s="2" t="inlineStr">
        <is>
          <t>Static inputs</t>
        </is>
      </c>
      <c r="B5" s="2" t="inlineStr">
        <is>
          <t>Elevation, slope, flow accumulation, infiltration, impervious, mask as maps (D3-D6)</t>
        </is>
      </c>
      <c r="C5" s="2" t="inlineStr">
        <is>
          <t>Catchment averages of the same layers (D3-D6)</t>
        </is>
      </c>
      <c r="D5" s="2" t="inlineStr">
        <is>
          <t>[ ]</t>
        </is>
      </c>
    </row>
    <row r="6">
      <c r="A6" s="2" t="inlineStr">
        <is>
          <t>Spatial detail kept</t>
        </is>
      </c>
      <c r="B6" s="2" t="inlineStr">
        <is>
          <t>Full 250 m pattern inside and around catchment</t>
        </is>
      </c>
      <c r="C6" s="2" t="inlineStr">
        <is>
          <t>Only catchment mean</t>
        </is>
      </c>
      <c r="D6" s="2" t="inlineStr">
        <is>
          <t>[ ]</t>
        </is>
      </c>
    </row>
    <row r="7">
      <c r="A7" s="2" t="inlineStr">
        <is>
          <t>Memory of past rain</t>
        </is>
      </c>
      <c r="B7" s="2" t="inlineStr">
        <is>
          <t>Last 6 h only</t>
        </is>
      </c>
      <c r="C7" s="2" t="inlineStr">
        <is>
          <t>Last 72 h</t>
        </is>
      </c>
      <c r="D7" s="2" t="inlineStr">
        <is>
          <t>[ ]</t>
        </is>
      </c>
    </row>
    <row r="8">
      <c r="A8" s="2" t="inlineStr">
        <is>
          <t>Shared with others</t>
        </is>
      </c>
      <c r="B8" s="2" t="inlineStr">
        <is>
          <t>Labels D7, event split, sources D1-D6</t>
        </is>
      </c>
      <c r="C8" s="2" t="inlineStr">
        <is>
          <t>Same</t>
        </is>
      </c>
      <c r="D8" s="2" t="inlineStr">
        <is>
          <t>Same</t>
        </is>
      </c>
    </row>
    <row r="9">
      <c r="A9" s="2" t="inlineStr">
        <is>
          <t>Why evaluation may differ</t>
        </is>
      </c>
      <c r="B9" s="2" t="inlineStr">
        <is>
          <t>Spatial: saliency maps, errors by terrain/region</t>
        </is>
      </c>
      <c r="C9" s="2" t="inlineStr">
        <is>
          <t>Temporal: error by lead hour (1 to 6 h), attribution by hour</t>
        </is>
      </c>
      <c r="D9" s="2"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5" customWidth="1" min="1" max="1"/>
    <col width="10" customWidth="1" min="2" max="2"/>
    <col width="70" customWidth="1" min="3" max="3"/>
    <col width="24" customWidth="1" min="4" max="4"/>
    <col width="44" customWidth="1" min="5" max="5"/>
  </cols>
  <sheetData>
    <row r="1">
      <c r="A1" s="1" t="inlineStr">
        <is>
          <t>#</t>
        </is>
      </c>
      <c r="B1" s="1" t="inlineStr">
        <is>
          <t>Priority</t>
        </is>
      </c>
      <c r="C1" s="1" t="inlineStr">
        <is>
          <t>Question</t>
        </is>
      </c>
      <c r="D1" s="1" t="inlineStr">
        <is>
          <t>Owner</t>
        </is>
      </c>
      <c r="E1" s="1" t="inlineStr">
        <is>
          <t>Why it matters</t>
        </is>
      </c>
    </row>
    <row r="2">
      <c r="A2" s="2" t="n">
        <v>1</v>
      </c>
      <c r="B2" s="2" t="inlineStr">
        <is>
          <t>High</t>
        </is>
      </c>
      <c r="C2" s="2" t="inlineStr">
        <is>
          <t>What are the labels (D7)? Which agency, which period, how many flash flood events and catchments, and do the records carry an hour of occurrence?</t>
        </is>
      </c>
      <c r="D2" s="2" t="inlineStr">
        <is>
          <t>Whole team (T1 owner)</t>
        </is>
      </c>
      <c r="E2" s="2" t="inlineStr">
        <is>
          <t>Without hourly timing, a 6 h target cannot be labelled.</t>
        </is>
      </c>
    </row>
    <row r="3">
      <c r="A3" s="2" t="n">
        <v>2</v>
      </c>
      <c r="B3" s="2" t="inlineStr">
        <is>
          <t>High</t>
        </is>
      </c>
      <c r="C3" s="2" t="inlineStr">
        <is>
          <t>Can the BoM radar history (D1) be obtained for the study period, and at what licence and cost?</t>
        </is>
      </c>
      <c r="D3" s="2" t="inlineStr">
        <is>
          <t>Candidate A owner</t>
        </is>
      </c>
      <c r="E3" s="2" t="inlineStr">
        <is>
          <t>The main input of A (3 of 10 channels) and of B.</t>
        </is>
      </c>
    </row>
    <row r="4">
      <c r="A4" s="2" t="n">
        <v>3</v>
      </c>
      <c r="B4" s="2" t="inlineStr">
        <is>
          <t>High</t>
        </is>
      </c>
      <c r="C4" s="2" t="inlineStr">
        <is>
          <t>With 8 weeks, how many catchments and events are realistic? Fix the study area now.</t>
        </is>
      </c>
      <c r="D4" s="2" t="inlineStr">
        <is>
          <t>Whole team</t>
        </is>
      </c>
      <c r="E4" s="2" t="inlineStr">
        <is>
          <t>Defines dataset size (sheet 2 calculator).</t>
        </is>
      </c>
    </row>
    <row r="5">
      <c r="A5" s="2" t="n">
        <v>4</v>
      </c>
      <c r="B5" s="2" t="inlineStr">
        <is>
          <t>Medium</t>
        </is>
      </c>
      <c r="C5" s="2" t="inlineStr">
        <is>
          <t>Which land-cover source gives the impervious fraction (D5)?</t>
        </is>
      </c>
      <c r="D5" s="2" t="inlineStr">
        <is>
          <t>Candidate A owner</t>
        </is>
      </c>
      <c r="E5" s="2" t="inlineStr">
        <is>
          <t>Currently 'source to confirm'.</t>
        </is>
      </c>
    </row>
    <row r="6">
      <c r="A6" s="2" t="n">
        <v>5</v>
      </c>
      <c r="B6" s="2" t="inlineStr">
        <is>
          <t>Medium</t>
        </is>
      </c>
      <c r="C6" s="2" t="inlineStr">
        <is>
          <t>Does the SLGA layer for saturated hydraulic conductivity exist at 90 m (D4)?</t>
        </is>
      </c>
      <c r="D6" s="2" t="inlineStr">
        <is>
          <t>Candidate A owner</t>
        </is>
      </c>
      <c r="E6" s="2" t="inlineStr">
        <is>
          <t>CSIRO page does not list it.</t>
        </is>
      </c>
    </row>
    <row r="7">
      <c r="A7" s="2" t="n">
        <v>6</v>
      </c>
      <c r="B7" s="2" t="inlineStr">
        <is>
          <t>Medium</t>
        </is>
      </c>
      <c r="C7" s="2" t="inlineStr">
        <is>
          <t>Is the example tile in Figure/Table 5 real data or an illustration? State the catchment and date, or label it 'illustrative'.</t>
        </is>
      </c>
      <c r="D7" s="2" t="inlineStr">
        <is>
          <t>Candidate A owner</t>
        </is>
      </c>
      <c r="E7" s="2" t="inlineStr">
        <is>
          <t>See notes in chat.</t>
        </is>
      </c>
    </row>
    <row r="8">
      <c r="A8" s="2" t="n">
        <v>7</v>
      </c>
      <c r="B8" s="2" t="inlineStr">
        <is>
          <t>Medium</t>
        </is>
      </c>
      <c r="C8" s="2" t="inlineStr">
        <is>
          <t>Catchment size versus the 16 km tile: do all chosen catchments fit?</t>
        </is>
      </c>
      <c r="D8" s="2" t="inlineStr">
        <is>
          <t>Candidate A owner</t>
        </is>
      </c>
      <c r="E8" s="2" t="inlineStr">
        <is>
          <t>Mask cannot exceed the tile.</t>
        </is>
      </c>
    </row>
    <row r="9">
      <c r="A9" s="2" t="n">
        <v>8</v>
      </c>
      <c r="B9" s="2" t="inlineStr">
        <is>
          <t>Low</t>
        </is>
      </c>
      <c r="C9" s="2" t="inlineStr">
        <is>
          <t>Rain gauges (D9): which source, and does any candidate use them?</t>
        </is>
      </c>
      <c r="D9" s="2" t="inlineStr">
        <is>
          <t>Whole team</t>
        </is>
      </c>
      <c r="E9" s="2" t="inlineStr">
        <is>
          <t>Listed in FR-2 and common inputs.</t>
        </is>
      </c>
    </row>
    <row r="10">
      <c r="A10" s="2" t="n">
        <v>9</v>
      </c>
      <c r="B10" s="2" t="inlineStr">
        <is>
          <t>Medium</t>
        </is>
      </c>
      <c r="C10" s="2" t="inlineStr">
        <is>
          <t>Does Lismore 2022 have radar, soil and label data (D10)?</t>
        </is>
      </c>
      <c r="D10" s="2" t="inlineStr">
        <is>
          <t>Whole team</t>
        </is>
      </c>
      <c r="E10" s="2" t="inlineStr">
        <is>
          <t>Draft marks [check data availability].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62" customWidth="1" min="3" max="3"/>
    <col width="12" customWidth="1" min="4" max="4"/>
    <col width="62" customWidth="1" min="5" max="5"/>
  </cols>
  <sheetData>
    <row r="1">
      <c r="A1" s="1" t="inlineStr">
        <is>
          <t>Source (from the list you received)</t>
        </is>
      </c>
      <c r="B1" s="1" t="inlineStr">
        <is>
          <t>What the draft or list says</t>
        </is>
      </c>
      <c r="C1" s="1" t="inlineStr">
        <is>
          <t>What the source says (read 16 Oct 2026)</t>
        </is>
      </c>
      <c r="D1" s="1" t="inlineStr">
        <is>
          <t>Match?</t>
        </is>
      </c>
      <c r="E1" s="1" t="inlineStr">
        <is>
          <t>Impact and action</t>
        </is>
      </c>
    </row>
    <row r="2">
      <c r="A2" s="2" t="inlineStr">
        <is>
          <t>BoM radar images user guide</t>
        </is>
      </c>
      <c r="B2" s="2" t="inlineStr">
        <is>
          <t>Radar about 1 km, every 5 to 10 min</t>
        </is>
      </c>
      <c r="C2" s="2" t="inlineStr">
        <is>
          <t>5-min and 1-h rainfield accumulations, only for some radars; files via registered FTP/SFTP or anonymous FTP; no resolution and no archive stated</t>
        </is>
      </c>
      <c r="D2" s="4" t="inlineStr">
        <is>
          <t>Partly</t>
        </is>
      </c>
      <c r="E2" s="2" t="inlineStr">
        <is>
          <t>Do not assume every catchment has a radar product. Check radar coverage of the study area.</t>
        </is>
      </c>
    </row>
    <row r="3">
      <c r="A3" s="2" t="inlineStr">
        <is>
          <t>Rainfields page (SoilCRC)</t>
        </is>
      </c>
      <c r="B3" s="2" t="inlineStr">
        <is>
          <t>About 1 km (Figure 2)</t>
        </is>
      </c>
      <c r="C3" s="2" t="inlineStr">
        <is>
          <t>Rainfields combines radar and rain gauges; 500 m grid; hosted by NCI; this demonstrator shows two years of history; time step, projection, download not stated</t>
        </is>
      </c>
      <c r="D3" s="4" t="inlineStr">
        <is>
          <t>Partly</t>
        </is>
      </c>
      <c r="E3" s="2" t="inlineStr">
        <is>
          <t>Resolution is 500 m, not 1 km. Gauges are already merged, so a separate gauge input is largely redundant. Confirm the archive length and the time step from the NetCDF files.</t>
        </is>
      </c>
    </row>
    <row r="4">
      <c r="A4" s="2" t="inlineStr">
        <is>
          <t>pysteps RF3 importer</t>
        </is>
      </c>
      <c r="B4" s="2" t="inlineStr">
        <is>
          <t>Rain 'summed over 1, 3, 6 h'</t>
        </is>
      </c>
      <c r="C4" s="2" t="inlineStr">
        <is>
          <t>Reads Rainfields3 NetCDF; field is a rain RATE in mm/h; missing data are 'No Coverage' (NaN)</t>
        </is>
      </c>
      <c r="D4" s="4" t="inlineStr">
        <is>
          <t>Partly</t>
        </is>
      </c>
      <c r="E4" s="2" t="inlineStr">
        <is>
          <t>Depth needs rate x time step; the step is not in this page. NaN cells (no coverage) must be handled in the tile.</t>
        </is>
      </c>
    </row>
    <row r="5">
      <c r="A5" s="2" t="inlineStr">
        <is>
          <t>NCI THREDDS rq0/rainfields3</t>
        </is>
      </c>
      <c r="B5" s="2" t="inlineStr">
        <is>
          <t>Not mentioned</t>
        </is>
      </c>
      <c r="C5" s="2" t="inlineStr">
        <is>
          <t>A catalogue exists at this address; the page could not be read (automated access blocked)</t>
        </is>
      </c>
      <c r="D5" s="3" t="inlineStr">
        <is>
          <t>Unconfirmed</t>
        </is>
      </c>
      <c r="E5" s="2" t="inlineStr">
        <is>
          <t>Open it in a browser; check whether an NCI account or project membership is needed and how far back the files go.</t>
        </is>
      </c>
    </row>
    <row r="6">
      <c r="A6" s="2" t="inlineStr">
        <is>
          <t>Australian Water Outlook (awo.bom.gov.au)</t>
        </is>
      </c>
      <c r="B6" s="2" t="inlineStr">
        <is>
          <t>AWRA-L soil moisture, daily, about 5 km</t>
        </is>
      </c>
      <c r="C6" s="2" t="inlineStr">
        <is>
          <t>Page needs JavaScript; description says soil moisture, runoff, evapotranspiration, deep drainage, precipitation; AWRA-L, resolution and download not stated</t>
        </is>
      </c>
      <c r="D6" s="3" t="inlineStr">
        <is>
          <t>Unconfirmed</t>
        </is>
      </c>
      <c r="E6" s="2" t="inlineStr">
        <is>
          <t>Open in a browser; the earlier BoM water-balance page said the last ten years can be downloaded directly.</t>
        </is>
      </c>
    </row>
    <row r="7">
      <c r="A7" s="2" t="inlineStr">
        <is>
          <t>Frost et al. (2015), AWRA-L</t>
        </is>
      </c>
      <c r="B7" s="2" t="inlineStr">
        <is>
          <t>Topsoil moisture converted to saturation 0 to 1</t>
        </is>
      </c>
      <c r="C7" s="2" t="inlineStr">
        <is>
          <t>0.05 deg (about 5 km), daily; three layers: 0-10 cm, 10-100 cm, 100-600 cm; units of soil moisture not stated in the paper</t>
        </is>
      </c>
      <c r="D7" s="4" t="inlineStr">
        <is>
          <t>Partly</t>
        </is>
      </c>
      <c r="E7" s="2" t="inlineStr">
        <is>
          <t>Define which layer is used and how it becomes 0 to 1 saturation (needs a minimum and maximum, or porosity). Use the previous day's value.</t>
        </is>
      </c>
    </row>
    <row r="8">
      <c r="A8" s="2" t="inlineStr">
        <is>
          <t>Geoscience Australia DEM-S (DEA page)</t>
        </is>
      </c>
      <c r="B8" s="2" t="inlineStr">
        <is>
          <t>1 s DEM, about 30 m</t>
        </is>
      </c>
      <c r="C8" s="2" t="inlineStr">
        <is>
          <t>0.00027 deg, EPSG:4326 (degrees, not metres); CC BY 4.0; AWS or Open Data Cube; vertical datum and accuracy not stated</t>
        </is>
      </c>
      <c r="D8" s="5" t="inlineStr">
        <is>
          <t>Match</t>
        </is>
      </c>
      <c r="E8" s="2" t="inlineStr">
        <is>
          <t>Reproject to a metric CRS before slope, flow accumulation and the 250 m grid; one MGA zone per study area.</t>
        </is>
      </c>
    </row>
    <row r="9">
      <c r="A9" s="2" t="inlineStr">
        <is>
          <t>SLGA (CSIRO page, Grundy et al. 2015)</t>
        </is>
      </c>
      <c r="B9" s="2" t="inlineStr">
        <is>
          <t>Saturated hydraulic conductivity, about 90 m (channel 7)</t>
        </is>
      </c>
      <c r="C9" s="2" t="inlineStr">
        <is>
          <t>90 m (3 arc-second); bulk density, organic carbon, clay, silt, sand, pH, available water capacity, nitrogen, phosphorus, cation exchange, depth of soil and regolith; six layers to 2 m; no hydraulic conductivity</t>
        </is>
      </c>
      <c r="D9" s="3" t="inlineStr">
        <is>
          <t>No</t>
        </is>
      </c>
      <c r="E9" s="2" t="inlineStr">
        <is>
          <t>Channel 7 cannot come directly from SLGA. Options: estimate infiltration capacity from clay, sand and bulk density with a published pedotransfer function, or use available water capacity. Rename the channel accordingly and cite.</t>
        </is>
      </c>
    </row>
    <row r="10">
      <c r="A10" s="2" t="inlineStr">
        <is>
          <t>DEA Land Cover</t>
        </is>
      </c>
      <c r="B10" s="2" t="inlineStr">
        <is>
          <t>25 m, annual; impervious fraction</t>
        </is>
      </c>
      <c r="C10" s="2" t="inlineStr">
        <is>
          <t>Current version 2.0.0 is 30 m (25 m was version 1), 1988 to 2025; categorical classes; no impervious class but 'Artificial Surface' (roads, buildings); can be mistaken for bare ground in arid regions; CC BY 4.0</t>
        </is>
      </c>
      <c r="D10" s="4" t="inlineStr">
        <is>
          <t>Partly</t>
        </is>
      </c>
      <c r="E10" s="2" t="inlineStr">
        <is>
          <t>Compute the share of 30 m pixels classed Artificial Surface inside each 250 m cell; use the year before the issue time. State that this is a proxy.</t>
        </is>
      </c>
    </row>
    <row r="11">
      <c r="A11" s="2" t="inlineStr">
        <is>
          <t>Sentinel-1 revisit (ESA)</t>
        </is>
      </c>
      <c r="B11" s="2" t="inlineStr">
        <is>
          <t>Flood maps every few days</t>
        </is>
      </c>
      <c r="C11" s="2" t="inlineStr">
        <is>
          <t>6 days with two satellites at the equator, 12 days with one; Australia lies between; the page does not give the current constellation status</t>
        </is>
      </c>
      <c r="D11" s="4" t="inlineStr">
        <is>
          <t>Partly</t>
        </is>
      </c>
      <c r="E11" s="2" t="inlineStr">
        <is>
          <t>Revisit is longer than 'every few days' in FR-2. Background knowledge, not on the page: Sentinel-1B stopped working in 2021, so check the current revisit over NSW.</t>
        </is>
      </c>
    </row>
    <row r="12">
      <c r="A12" s="2" t="inlineStr">
        <is>
          <t>Sen1Floods11</t>
        </is>
      </c>
      <c r="B12" s="2" t="inlineStr">
        <is>
          <t>Flood-map labels</t>
        </is>
      </c>
      <c r="C12" s="2" t="inlineStr">
        <is>
          <t>512 x 512 chips at 10 m, hand-labelled water or not water; Sentinel-1 and Sentinel-2; no mention of Australia; licence not stated</t>
        </is>
      </c>
      <c r="D12" s="3" t="inlineStr">
        <is>
          <t>No</t>
        </is>
      </c>
      <c r="E12" s="2" t="inlineStr">
        <is>
          <t>Gives flood extent after an event, not the hour a flood began, so it cannot label 'flood within the next 6 h'. Useful for training a flood-mapping model or checking extents only.</t>
        </is>
      </c>
    </row>
    <row r="13">
      <c r="A13" s="2" t="inlineStr">
        <is>
          <t>BoM Water Data Online</t>
        </is>
      </c>
      <c r="B13" s="2" t="inlineStr">
        <is>
          <t>Streamflow gauges, 'sequential model only'</t>
        </is>
      </c>
      <c r="C13" s="2" t="inlineStr">
        <is>
          <t>Continuous series at the owner's interval; one station at a time; local standard time; many suppliers CC BY</t>
        </is>
      </c>
      <c r="D13" s="4" t="inlineStr">
        <is>
          <t>Partly</t>
        </is>
      </c>
      <c r="E13" s="2" t="inlineStr">
        <is>
          <t>If gauge data are used only by B, the 'no candidate gets data others cannot use' rule is broken. Either keep gauges out of the comparison (B2 reported separately) or give all candidates access. Convert time zones to UTC.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36" customWidth="1" min="3" max="3"/>
    <col width="66" customWidth="1" min="4" max="4"/>
    <col width="56" customWidth="1" min="5" max="5"/>
  </cols>
  <sheetData>
    <row r="1">
      <c r="A1" s="1" t="inlineStr">
        <is>
          <t>Step</t>
        </is>
      </c>
      <c r="B1" s="1" t="inlineStr">
        <is>
          <t>Operation</t>
        </is>
      </c>
      <c r="C1" s="1" t="inlineStr">
        <is>
          <t>Source</t>
        </is>
      </c>
      <c r="D1" s="1" t="inlineStr">
        <is>
          <t>Transformation</t>
        </is>
      </c>
      <c r="E1" s="1" t="inlineStr">
        <is>
          <t>Issue to resolve</t>
        </is>
      </c>
    </row>
    <row r="2">
      <c r="A2" s="2" t="n">
        <v>0</v>
      </c>
      <c r="B2" s="2" t="inlineStr">
        <is>
          <t>Fix one common grid</t>
        </is>
      </c>
      <c r="C2" s="2" t="inlineStr">
        <is>
          <t>Study area</t>
        </is>
      </c>
      <c r="D2" s="2" t="inlineStr">
        <is>
          <t>Metric CRS (an MGA zone), 250 m cells, 64 x 64 per tile</t>
        </is>
      </c>
      <c r="E2" s="2" t="inlineStr">
        <is>
          <t>Pick one zone per study area; NSW spans several.</t>
        </is>
      </c>
    </row>
    <row r="3">
      <c r="A3" s="2" t="n">
        <v>1</v>
      </c>
      <c r="B3" s="2" t="inlineStr">
        <is>
          <t>Create the catchment from an outlet</t>
        </is>
      </c>
      <c r="C3" s="2" t="inlineStr">
        <is>
          <t>DEM-S 30 m (EPSG:4326)</t>
        </is>
      </c>
      <c r="D3" s="2" t="inlineStr">
        <is>
          <t>Reproject to metric; fill sinks; flow direction; trace upstream from the outlet; mask polygon</t>
        </is>
      </c>
      <c r="E3" s="2" t="inlineStr">
        <is>
          <t>The catchment is built by this step, not downloaded. Outlets must be chosen first (bridge, town creek).</t>
        </is>
      </c>
    </row>
    <row r="4">
      <c r="A4" s="2" t="n">
        <v>2</v>
      </c>
      <c r="B4" s="2" t="inlineStr">
        <is>
          <t>Place the tile</t>
        </is>
      </c>
      <c r="C4" s="2" t="inlineStr">
        <is>
          <t>Mask from step 1</t>
        </is>
      </c>
      <c r="D4" s="2" t="inlineStr">
        <is>
          <t>16 km x 16 km window centred on the catchment</t>
        </is>
      </c>
      <c r="E4" s="2" t="inlineStr">
        <is>
          <t>Catchments larger than 16 km do not fit; decide centring (outlet or centroid).</t>
        </is>
      </c>
    </row>
    <row r="5">
      <c r="A5" s="2" t="n">
        <v>3</v>
      </c>
      <c r="B5" s="2" t="inlineStr">
        <is>
          <t>Terrain layers (channels 4, 5, 6, 10)</t>
        </is>
      </c>
      <c r="C5" s="2" t="inlineStr">
        <is>
          <t>DEM-S</t>
        </is>
      </c>
      <c r="D5" s="2" t="inlineStr">
        <is>
          <t>Elevation: mean to 250 m. Slope and flow accumulation from the 250 m grid (draft) or from the 30 m grid then aggregated</t>
        </is>
      </c>
      <c r="E5" s="2" t="inlineStr">
        <is>
          <t>Order matters: flow paths computed on 250 m averages lose small channels.</t>
        </is>
      </c>
    </row>
    <row r="6">
      <c r="A6" s="2" t="n">
        <v>4</v>
      </c>
      <c r="B6" s="2" t="inlineStr">
        <is>
          <t>Infiltration layer (channel 7)</t>
        </is>
      </c>
      <c r="C6" s="2" t="inlineStr">
        <is>
          <t>SLGA 90 m (clay, sand, bulk density)</t>
        </is>
      </c>
      <c r="D6" s="2" t="inlineStr">
        <is>
          <t>Pedotransfer estimate at 90 m, mean to 250 m</t>
        </is>
      </c>
      <c r="E6" s="2" t="inlineStr">
        <is>
          <t>No hydraulic conductivity layer exists; this is an estimate with uncertainty.</t>
        </is>
      </c>
    </row>
    <row r="7">
      <c r="A7" s="2" t="n">
        <v>5</v>
      </c>
      <c r="B7" s="2" t="inlineStr">
        <is>
          <t>Sealed fraction (channel 8)</t>
        </is>
      </c>
      <c r="C7" s="2" t="inlineStr">
        <is>
          <t>DEA Land Cover 30 m</t>
        </is>
      </c>
      <c r="D7" s="2" t="inlineStr">
        <is>
          <t>Share of Artificial Surface pixels per 250 m cell; year before the issue time</t>
        </is>
      </c>
      <c r="E7" s="2" t="inlineStr">
        <is>
          <t>Proxy, not a measured impervious fraction.</t>
        </is>
      </c>
    </row>
    <row r="8">
      <c r="A8" s="2" t="n">
        <v>6</v>
      </c>
      <c r="B8" s="2" t="inlineStr">
        <is>
          <t>Rain layers (channels 1 to 3)</t>
        </is>
      </c>
      <c r="C8" s="2" t="inlineStr">
        <is>
          <t>Rainfields3 NetCDF, 500 m, rate in mm/h</t>
        </is>
      </c>
      <c r="D8" s="2" t="inlineStr">
        <is>
          <t>For each issue time t: take files from t-1 h, t-3 h, t-6 h to t; sum rate x time step; resample 500 m to 250 m; keep NaN where no radar coverage</t>
        </is>
      </c>
      <c r="E8" s="2" t="inlineStr">
        <is>
          <t>Needs the time step and UTC times; heavy file volume; coverage gaps in mountains.</t>
        </is>
      </c>
    </row>
    <row r="9">
      <c r="A9" s="2" t="n">
        <v>7</v>
      </c>
      <c r="B9" s="2" t="inlineStr">
        <is>
          <t>Soil wetness (channel 9)</t>
        </is>
      </c>
      <c r="C9" s="2" t="inlineStr">
        <is>
          <t>AWRA-L 0.05 deg, daily</t>
        </is>
      </c>
      <c r="D9" s="2" t="inlineStr">
        <is>
          <t>Previous day's value; convert to 0 to 1; reproject; interpolate to 250 m</t>
        </is>
      </c>
      <c r="E9" s="2" t="inlineStr">
        <is>
          <t>A 16 km tile holds only about 3 x 3 source cells, so this channel is nearly smooth.</t>
        </is>
      </c>
    </row>
    <row r="10">
      <c r="A10" s="2" t="n">
        <v>8</v>
      </c>
      <c r="B10" s="2" t="inlineStr">
        <is>
          <t>Scale and stack</t>
        </is>
      </c>
      <c r="C10" s="2" t="inlineStr">
        <is>
          <t>All layers</t>
        </is>
      </c>
      <c r="D10" s="2" t="inlineStr">
        <is>
          <t>Fixed regional constants; stack to 10 x 64 x 64</t>
        </is>
      </c>
      <c r="E10" s="2" t="inlineStr">
        <is>
          <t>Constants come from training data only.</t>
        </is>
      </c>
    </row>
    <row r="11">
      <c r="A11" s="2" t="n">
        <v>9</v>
      </c>
      <c r="B11" s="2" t="inlineStr">
        <is>
          <t>Attach label and split</t>
        </is>
      </c>
      <c r="C11" s="2" t="inlineStr">
        <is>
          <t>Event table, test table</t>
        </is>
      </c>
      <c r="D11" s="2" t="inlineStr">
        <is>
          <t>Label 1 if a flash flood is recorded in the catchment in (t, t + 6 h]; assign split by event</t>
        </is>
      </c>
      <c r="E11" s="2" t="inlineStr">
        <is>
          <t>Needs an event table with hours; see sheet 4.</t>
        </is>
      </c>
    </row>
    <row r="12">
      <c r="A12" s="2" t="n">
        <v>10</v>
      </c>
      <c r="B12" s="2" t="inlineStr">
        <is>
          <t>What B takes from the same steps</t>
        </is>
      </c>
      <c r="C12" s="2" t="inlineStr">
        <is>
          <t>Mask (step 1), rain (step 6), soil (step 7), catchment attributes (steps 3 to 5)</t>
        </is>
      </c>
      <c r="D12" s="2" t="inlineStr">
        <is>
          <t>Average each layer over the mask, hour by hour, for 72 h</t>
        </is>
      </c>
      <c r="E12" s="2" t="inlineStr">
        <is>
          <t>B depends on A's catchment mask and regridded rain, so these steps are shared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2026-10-16T08:20:33Z</dcterms:created>
  <dcterms:modified xmlns:dcterms="http://purl.org/dc/terms/" xmlns:xsi="http://www.w3.org/2001/XMLSchema-instance" xsi:type="dcterms:W3CDTF">2026-10-16T10:32:13Z</dcterms:modified>
</cp:coreProperties>
</file>