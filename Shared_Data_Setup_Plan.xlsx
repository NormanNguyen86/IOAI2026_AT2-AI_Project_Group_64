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Read me" sheetId="1" state="visible" r:id="rId3"/>
    <sheet name="1 Source access" sheetId="2" state="visible" r:id="rId4"/>
    <sheet name="2 Catchment registry" sheetId="3" state="visible" r:id="rId5"/>
    <sheet name="3 Master table" sheetId="4" state="visible" r:id="rId6"/>
    <sheet name="4 Time rules (72 steps)" sheetId="5" state="visible" r:id="rId7"/>
    <sheet name="5 Events and labels" sheetId="6" state="visible" r:id="rId8"/>
    <sheet name="6 B inputs (B only)" sheetId="7" state="visible" r:id="rId9"/>
    <sheet name="7 Plan and owners" sheetId="8" state="visible" r:id="rId10"/>
    <sheet name="8 Open 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3" authorId="0">
      <text>
        <r>
          <rPr>
            <sz val="10"/>
            <rFont val="Arial"/>
            <family val="2"/>
          </rPr>
          <t xml:space="preserve">Formula: Yes only if both mask extents are under A's 16 km tile.</t>
        </r>
      </text>
    </comment>
  </commentList>
</comments>
</file>

<file path=xl/sharedStrings.xml><?xml version="1.0" encoding="utf-8"?>
<sst xmlns="http://schemas.openxmlformats.org/spreadsheetml/2006/main" count="545" uniqueCount="360">
  <si>
    <t xml:space="preserve">Shared data set-up plan: flash flood probability (next 6 h), NSW</t>
  </si>
  <si>
    <t xml:space="preserve">AT2 group project. Sources checked 17 Oct 2026. Draft for team agreement, not final decisions.</t>
  </si>
  <si>
    <t xml:space="preserve">Core rule</t>
  </si>
  <si>
    <t xml:space="preserve">Inputs differ per candidate; the master table (catchment, issue time, label, split) is the same for all. Every candidate scores its probability on exactly the rows of the master table.</t>
  </si>
  <si>
    <t xml:space="preserve">What is shared</t>
  </si>
  <si>
    <t xml:space="preserve">Catchment registry (sheet 2), master table (sheet 3), the 72-step time rule (sheet 4), event and label table (sheet 5), the common grid (EPSG:3577, 250 m) and the radar hour convention.</t>
  </si>
  <si>
    <t xml:space="preserve">What is NOT shared</t>
  </si>
  <si>
    <t xml:space="preserve">How each candidate turns the sources into inputs. A cuts the 1/3/6 h rain maps for each sample. B builds its own 72-step hourly series and static vector (sheet 6). C chooses its own inputs.</t>
  </si>
  <si>
    <t xml:space="preserve">Sheets</t>
  </si>
  <si>
    <t xml:space="preserve">1 Source access | 2 Catchment registry | 3 Master table | 4 Time rules (72 steps) | 5 Events and labels | 6 B inputs (B only) | 7 Plan and owners | 8 Open checks</t>
  </si>
  <si>
    <t xml:space="preserve">Legend</t>
  </si>
  <si>
    <t xml:space="preserve">Dark blue header = column name. Yellow cells = team still has to decide or fill in. Green rows = EXAMPLE values to show the format only (not real data).</t>
  </si>
  <si>
    <t xml:space="preserve">Times</t>
  </si>
  <si>
    <t xml:space="preserve">All times are stored in UTC. A rain step labelled with time h covers the hour (h-1, h].</t>
  </si>
  <si>
    <t xml:space="preserve">1. Where each source comes from and how to get it</t>
  </si>
  <si>
    <t xml:space="preserve">Checked 17 Oct 2026. 'No request' = the provider page lists no application, account or approval for the route named.</t>
  </si>
  <si>
    <t xml:space="preserve">Source</t>
  </si>
  <si>
    <t xml:space="preserve">Used for</t>
  </si>
  <si>
    <t xml:space="preserve">Access route</t>
  </si>
  <si>
    <t xml:space="preserve">What the provider page says</t>
  </si>
  <si>
    <t xml:space="preserve">Licence</t>
  </si>
  <si>
    <t xml:space="preserve">Needs a request?</t>
  </si>
  <si>
    <t xml:space="preserve">Feasible for 8 weeks?</t>
  </si>
  <si>
    <t xml:space="preserve">Notes / what to check</t>
  </si>
  <si>
    <t xml:space="preserve">Rainfields3 radar rainfall (BoM)</t>
  </si>
  <si>
    <t xml:space="preserve">Rain input for A and B; hourly rain grid</t>
  </si>
  <si>
    <t xml:space="preserve">NCI THREDDS catalogue: thredds.nci.org.au, path rq0/rainfields3 (example code in rq0/rainfields3/example)</t>
  </si>
  <si>
    <t xml:space="preserve">Cartesian gridded netCDF4; operational archive updated regularly; about 48 h behind real time; radar ids in radar_site_list.csv</t>
  </si>
  <si>
    <t xml:space="preserve">CC BY-NC 4.0 (fine for study)</t>
  </si>
  <si>
    <t xml:space="preserve">None listed</t>
  </si>
  <si>
    <t xml:space="preserve">Likely, but unconfirmed</t>
  </si>
  <si>
    <t xml:space="preserve">Years covered and product list not on the page; catalogue could not be read by our tools (robots). Open it in a browser and record the first year available. pysteps import_bom_rf3 reads these files as rain rate in mm/h.</t>
  </si>
  <si>
    <t xml:space="preserve">AWRA-L soil moisture (BoM)</t>
  </si>
  <si>
    <t xml:space="preserve">Soil wetness (A ch. 9; B dynamic input)</t>
  </si>
  <si>
    <t xml:space="preserve">Australian Water Outlook download (checked earlier, 16 Oct)</t>
  </si>
  <si>
    <t xml:space="preserve">Past 10 years downloadable; longer series on request (awrams@bom.gov.au); 0.05 deg, daily</t>
  </si>
  <si>
    <t xml:space="preserve">BoM terms</t>
  </si>
  <si>
    <t xml:space="preserve">No, for last 10 years</t>
  </si>
  <si>
    <t xml:space="preserve">Yes</t>
  </si>
  <si>
    <t xml:space="preserve">10-year window covers 2016 onward, so Lismore 2022 is inside. Confirm which layer (0-10 cm or root zone) and units.</t>
  </si>
  <si>
    <t xml:space="preserve">DEM-S 1 s smoothed elevation (Geoscience Australia)</t>
  </si>
  <si>
    <t xml:space="preserve">Elevation, slope, flow direction, masks</t>
  </si>
  <si>
    <t xml:space="preserve">data.gov.au dataset 'DEM-S version 1.0': 'Download the data' link (27 GB, whole country) plus slope and aspect layers</t>
  </si>
  <si>
    <t xml:space="preserve">1 arc-second (about 30 m); SRTM Feb 2000</t>
  </si>
  <si>
    <t xml:space="preserve">CC BY 4.0 (per DEA page checked 16 Oct)</t>
  </si>
  <si>
    <t xml:space="preserve">Yes, but large</t>
  </si>
  <si>
    <t xml:space="preserve">Download once and clip to the study region. Slope already provided as a separate layer.</t>
  </si>
  <si>
    <t xml:space="preserve">SLGA soil attributes (CSIRO/TERN)</t>
  </si>
  <si>
    <t xml:space="preserve">Infiltration proxy (clay, sand, bulk density, AWC)</t>
  </si>
  <si>
    <t xml:space="preserve">CSIRO Data Access Portal collection 63383; also Google Earth Engine 'CSIRO/SLGA' (needs free registration)</t>
  </si>
  <si>
    <t xml:space="preserve">3 arc-second (about 90 m); 6 depth layers; value plus 5th/95th percentile; no saturated hydraulic conductivity</t>
  </si>
  <si>
    <t xml:space="preserve">CC BY</t>
  </si>
  <si>
    <t xml:space="preserve">No (Earth Engine route needs an account)</t>
  </si>
  <si>
    <t xml:space="preserve">Infiltration must be estimated from texture or AWC; name the method in the report.</t>
  </si>
  <si>
    <t xml:space="preserve">DEA Land Cover v2.0.0 (Geoscience Australia)</t>
  </si>
  <si>
    <t xml:space="preserve">Sealed-surface share (A ch. 8; B static)</t>
  </si>
  <si>
    <t xml:space="preserve">Public AWS S3 (no-sign-request), STAC API, continental COG mosaics, OGC services at ows.dea.ga.gov.au; product ga_ls_landcover_class_cyear_3</t>
  </si>
  <si>
    <t xml:space="preserve">30 m, annual 1988-2025; Level 3 code 215 / Level 4 class 93 = Artificial Surface</t>
  </si>
  <si>
    <t xml:space="preserve">CC BY 4.0</t>
  </si>
  <si>
    <t xml:space="preserve">No</t>
  </si>
  <si>
    <t xml:space="preserve">Yes (easiest source)</t>
  </si>
  <si>
    <t xml:space="preserve">Use the year before the issue time. Artificial Surface share is a proxy for impervious fraction.</t>
  </si>
  <si>
    <t xml:space="preserve">Water Data Online (BoM)</t>
  </si>
  <si>
    <t xml:space="preserve">River level / discharge for labels; catchment outlets</t>
  </si>
  <si>
    <t xml:space="preserve">bom.gov.au/waterdata; web service used by the R package bomWater (get_as_stored, get_hourly); Python: kiwis-pie</t>
  </si>
  <si>
    <t xml:space="preserve">Free access; about 3,500 stations; level (m) and discharge (m3/s)</t>
  </si>
  <si>
    <t xml:space="preserve">CC BY 3.0 AU (check supplier preferences)</t>
  </si>
  <si>
    <t xml:space="preserve">Time zone of downloads not stated on the page: check one known flood peak before trusting timing.</t>
  </si>
  <si>
    <t xml:space="preserve">BoM National Flood Gauge Network (map service)</t>
  </si>
  <si>
    <t xml:space="preserve">Gauge list with coordinates; which gauges have flood classes</t>
  </si>
  <si>
    <t xml:space="preserve">hosting.wsapi.cloud.bom.gov.au ... /flood/National_Flood_Gauge_Network/MapServer (layers 2, 3, 5)</t>
  </si>
  <si>
    <t xml:space="preserve">Fields: bom_stn_num, awrc_stateid, name, lat, long, state, basin; EPSG:4283. Flood class levels exist for forecast and information locations, but are not fields</t>
  </si>
  <si>
    <t xml:space="preserve">Minor/moderate/major heights must be copied from BoM flood warning pages or local flood plans.</t>
  </si>
  <si>
    <t xml:space="preserve">CAMELS-AUS v2 (Zenodo)</t>
  </si>
  <si>
    <t xml:space="preserve">Ready-made catchment list: outlet gauges, boundaries, area, attributes</t>
  </si>
  <si>
    <t xml:space="preserve">zenodo.org/records/14289037 (2.1 GB); file 02_location_boundary_area.zip plus attribute master table CSV</t>
  </si>
  <si>
    <t xml:space="preserve">561 catchments; daily streamflow to 31 Mar 2022; attributes for topography, soil, land cover</t>
  </si>
  <si>
    <t xml:space="preserve">Daily flow only, so NOT a label source for a 6 h target. Use it to pick gauged catchments and boundaries. Confirm boundary format inside the zip.</t>
  </si>
  <si>
    <t xml:space="preserve">Geofabric (BoM)</t>
  </si>
  <si>
    <t xml:space="preserve">Alternative catchment boundaries and streams</t>
  </si>
  <si>
    <t xml:space="preserve">Anonymous FTP (version2 folder) and web services</t>
  </si>
  <si>
    <t xml:space="preserve">Esri File Geodatabase</t>
  </si>
  <si>
    <t xml:space="preserve">Yes, if needed</t>
  </si>
  <si>
    <t xml:space="preserve">Only needed if CAMELS-AUS has no boundary for a chosen gauge.</t>
  </si>
  <si>
    <t xml:space="preserve">WaterNSW API</t>
  </si>
  <si>
    <t xml:space="preserve">15-min river data</t>
  </si>
  <si>
    <t xml:space="preserve">API developer portal</t>
  </si>
  <si>
    <t xml:space="preserve">Registration required</t>
  </si>
  <si>
    <t xml:space="preserve">Not stated</t>
  </si>
  <si>
    <t xml:space="preserve">Yes (account)</t>
  </si>
  <si>
    <t xml:space="preserve">Avoid</t>
  </si>
  <si>
    <t xml:space="preserve">Use Water Data Online instead.</t>
  </si>
  <si>
    <t xml:space="preserve">Sentinel-1 / Sen1Floods11</t>
  </si>
  <si>
    <t xml:space="preserve">Not an input</t>
  </si>
  <si>
    <t xml:space="preserve">-</t>
  </si>
  <si>
    <t xml:space="preserve">Gives flood extent, not flood timing</t>
  </si>
  <si>
    <t xml:space="preserve">Open</t>
  </si>
  <si>
    <t xml:space="preserve">Not needed for labels</t>
  </si>
  <si>
    <t xml:space="preserve">Optional visual check only.</t>
  </si>
  <si>
    <t xml:space="preserve">2. Catchment registry (shared): how to locate each catchment exactly</t>
  </si>
  <si>
    <t xml:space="preserve">Draft A traces the mask from a chosen outlet ('a bridge or the creek entering a town'). We propose the outlet is always a river gauge, because the label is measured there.</t>
  </si>
  <si>
    <t xml:space="preserve">Field</t>
  </si>
  <si>
    <t xml:space="preserve">Type</t>
  </si>
  <si>
    <t xml:space="preserve">How it is filled</t>
  </si>
  <si>
    <t xml:space="preserve">catchment_id</t>
  </si>
  <si>
    <t xml:space="preserve">text</t>
  </si>
  <si>
    <t xml:space="preserve">Use the BoM station number of the outlet gauge, so every record links back to Water Data Online</t>
  </si>
  <si>
    <t xml:space="preserve">Water Data Online / flood gauge map service</t>
  </si>
  <si>
    <t xml:space="preserve">station_name</t>
  </si>
  <si>
    <t xml:space="preserve">Gauge name as published</t>
  </si>
  <si>
    <t xml:space="preserve">Same</t>
  </si>
  <si>
    <t xml:space="preserve">outlet_lat, outlet_lon</t>
  </si>
  <si>
    <t xml:space="preserve">decimal deg (EPSG:4283)</t>
  </si>
  <si>
    <t xml:space="preserve">Gauge coordinates; snap to the highest flow-accumulation cell within about 250 m so the trace starts on the stream</t>
  </si>
  <si>
    <t xml:space="preserve">Flood gauge map service (lat, long)</t>
  </si>
  <si>
    <t xml:space="preserve">outlet_x, outlet_y</t>
  </si>
  <si>
    <t xml:space="preserve">metres (EPSG:3577)</t>
  </si>
  <si>
    <t xml:space="preserve">Convert outlet to the common grid (GDA94 Australian Albers, the grid DEA uses)</t>
  </si>
  <si>
    <t xml:space="preserve">Computed</t>
  </si>
  <si>
    <t xml:space="preserve">boundary_source</t>
  </si>
  <si>
    <t xml:space="preserve">'CAMELS-AUS' if a boundary exists, else 'DEM trace'</t>
  </si>
  <si>
    <t xml:space="preserve">CAMELS-AUS v2 / DEM-S</t>
  </si>
  <si>
    <t xml:space="preserve">mask_file</t>
  </si>
  <si>
    <t xml:space="preserve">file path</t>
  </si>
  <si>
    <t xml:space="preserve">Raster on the 250 m EPSG:3577 grid: 1 inside, 0 outside (A channel 10; B uses it for averaging)</t>
  </si>
  <si>
    <t xml:space="preserve">Built once, shared by A and B</t>
  </si>
  <si>
    <t xml:space="preserve">area_km2</t>
  </si>
  <si>
    <t xml:space="preserve">number</t>
  </si>
  <si>
    <t xml:space="preserve">Cells in mask x 0.0625 km2; compare with published area as a check (within about 10%)</t>
  </si>
  <si>
    <t xml:space="preserve">bbox_width_km, bbox_height_km</t>
  </si>
  <si>
    <t xml:space="preserve">Extent of the mask. Must be under 16 km in both directions to fit A's tile</t>
  </si>
  <si>
    <t xml:space="preserve">fits_A_tile</t>
  </si>
  <si>
    <t xml:space="preserve">Yes/No</t>
  </si>
  <si>
    <t xml:space="preserve">Yes if both extents are under 16 km. Catchments that do not fit are excluded or need a team decision</t>
  </si>
  <si>
    <t xml:space="preserve">tile_centre_x, tile_centre_y</t>
  </si>
  <si>
    <t xml:space="preserve">Centre of the mask's bounding box, snapped to the 250 m grid</t>
  </si>
  <si>
    <t xml:space="preserve">Computed (A uses it)</t>
  </si>
  <si>
    <t xml:space="preserve">radar_ids</t>
  </si>
  <si>
    <t xml:space="preserve">Radar(s) covering the catchment</t>
  </si>
  <si>
    <t xml:space="preserve">radar_site_list.csv on NCI</t>
  </si>
  <si>
    <t xml:space="preserve">minor_level_m, moderate_level_m</t>
  </si>
  <si>
    <t xml:space="preserve">Official flood class heights at the gauge; blank if none</t>
  </si>
  <si>
    <t xml:space="preserve">BoM flood warning pages / SES local plans</t>
  </si>
  <si>
    <t xml:space="preserve">threshold_rule</t>
  </si>
  <si>
    <t xml:space="preserve">'minor level' if one exists, else the agreed fallback (sheet 5)</t>
  </si>
  <si>
    <t xml:space="preserve">Team decision</t>
  </si>
  <si>
    <t xml:space="preserve">record_start, record_end</t>
  </si>
  <si>
    <t xml:space="preserve">date</t>
  </si>
  <si>
    <t xml:space="preserve">First and last date of usable river level data</t>
  </si>
  <si>
    <t xml:space="preserve">Water Data Online</t>
  </si>
  <si>
    <t xml:space="preserve">basin</t>
  </si>
  <si>
    <t xml:space="preserve">River basin name (for grouping and for catchment hold-out)</t>
  </si>
  <si>
    <t xml:space="preserve">Flood gauge map service</t>
  </si>
  <si>
    <t xml:space="preserve">EXAMPLE ROW (format only, not real data)</t>
  </si>
  <si>
    <t xml:space="preserve">outlet_lat</t>
  </si>
  <si>
    <t xml:space="preserve">outlet_lon</t>
  </si>
  <si>
    <t xml:space="preserve">bbox_w_km</t>
  </si>
  <si>
    <t xml:space="preserve">bbox_h_km</t>
  </si>
  <si>
    <t xml:space="preserve">minor_level_m</t>
  </si>
  <si>
    <t xml:space="preserve">[station no.]</t>
  </si>
  <si>
    <t xml:space="preserve">Example Creek at Example Bridge</t>
  </si>
  <si>
    <t xml:space="preserve">CAMELS-AUS</t>
  </si>
  <si>
    <t xml:space="preserve">minor level</t>
  </si>
  <si>
    <t xml:space="preserve">3. Master table (shared): one row per sample, used by every candidate</t>
  </si>
  <si>
    <t xml:space="preserve">Window and label times are derived from issue_time_utc with formulas, so A, B and C read the same instants.</t>
  </si>
  <si>
    <t xml:space="preserve">Column</t>
  </si>
  <si>
    <t xml:space="preserve">Meaning / rule</t>
  </si>
  <si>
    <t xml:space="preserve">Filled by</t>
  </si>
  <si>
    <t xml:space="preserve">sample_id</t>
  </si>
  <si>
    <t xml:space="preserve">catchment_id + issue time, e.g. '[station]_2022022718'</t>
  </si>
  <si>
    <t xml:space="preserve">Shared script</t>
  </si>
  <si>
    <t xml:space="preserve">Key into the catchment registry (sheet 2)</t>
  </si>
  <si>
    <t xml:space="preserve">Shared</t>
  </si>
  <si>
    <t xml:space="preserve">issue_time_utc</t>
  </si>
  <si>
    <t xml:space="preserve">datetime</t>
  </si>
  <si>
    <t xml:space="preserve">Time the forecast is made; on the whole hour</t>
  </si>
  <si>
    <t xml:space="preserve">input_window_start_utc</t>
  </si>
  <si>
    <t xml:space="preserve">issue_time - 72 h. B reads all 72 steps; A reads only the last 6 (sheet 4)</t>
  </si>
  <si>
    <t xml:space="preserve">Formula</t>
  </si>
  <si>
    <t xml:space="preserve">label_window_end_utc</t>
  </si>
  <si>
    <t xml:space="preserve">issue_time + 6 h. Label window is (issue_time, issue_time + 6 h]</t>
  </si>
  <si>
    <t xml:space="preserve">label_6h</t>
  </si>
  <si>
    <t xml:space="preserve">0/1</t>
  </si>
  <si>
    <t xml:space="preserve">1 if a flood onset (sheet 5) falls inside the label window</t>
  </si>
  <si>
    <t xml:space="preserve">onset_time_utc</t>
  </si>
  <si>
    <t xml:space="preserve">Onset time if label = 1, else blank</t>
  </si>
  <si>
    <t xml:space="preserve">From event table</t>
  </si>
  <si>
    <t xml:space="preserve">event_id</t>
  </si>
  <si>
    <t xml:space="preserve">Event the sample belongs to (for splitting); blank for quiet periods</t>
  </si>
  <si>
    <t xml:space="preserve">split</t>
  </si>
  <si>
    <t xml:space="preserve">train / val / test / holdout_lismore</t>
  </si>
  <si>
    <t xml:space="preserve">Shared rule</t>
  </si>
  <si>
    <t xml:space="preserve">history_ok</t>
  </si>
  <si>
    <t xml:space="preserve">Yes if all 72 radar hours in the window have data (missing is not the same as 0 mm)</t>
  </si>
  <si>
    <t xml:space="preserve">Shared check</t>
  </si>
  <si>
    <t xml:space="preserve">already_in_flood</t>
  </si>
  <si>
    <t xml:space="preserve">Yes if the gauge is already above threshold at issue time; these rows are excluded from scoring</t>
  </si>
  <si>
    <t xml:space="preserve">use_for_scoring</t>
  </si>
  <si>
    <t xml:space="preserve">Yes only if history_ok = Yes and already_in_flood = No</t>
  </si>
  <si>
    <t xml:space="preserve">EXAMPLE ROWS (format only, not real data)</t>
  </si>
  <si>
    <t xml:space="preserve">[stn]_2022022718</t>
  </si>
  <si>
    <t xml:space="preserve">EV_2022_02</t>
  </si>
  <si>
    <t xml:space="preserve">holdout_lismore</t>
  </si>
  <si>
    <t xml:space="preserve">[stn]_2022022800</t>
  </si>
  <si>
    <t xml:space="preserve">[stn]_2021061206</t>
  </si>
  <si>
    <t xml:space="preserve">train</t>
  </si>
  <si>
    <t xml:space="preserve">4. Time rules: the 72 input steps before every issue time (shared)</t>
  </si>
  <si>
    <t xml:space="preserve">One rule for all samples. Step k covers the hour (issue - k h, issue - (k-1) h]. Change the example issue time in B4 to see real instants.</t>
  </si>
  <si>
    <t xml:space="preserve">Example issue time (UTC):</t>
  </si>
  <si>
    <t xml:space="preserve">Input: edit this cell</t>
  </si>
  <si>
    <t xml:space="preserve">Step k</t>
  </si>
  <si>
    <t xml:space="preserve">Starts at (h before issue)</t>
  </si>
  <si>
    <t xml:space="preserve">Ends at (h before issue)</t>
  </si>
  <si>
    <t xml:space="preserve">Used by A?</t>
  </si>
  <si>
    <t xml:space="preserve">A rain sums that include it</t>
  </si>
  <si>
    <t xml:space="preserve">Used by B?</t>
  </si>
  <si>
    <t xml:space="preserve">Step start (UTC, example)</t>
  </si>
  <si>
    <t xml:space="preserve">Step end (UTC, example)</t>
  </si>
  <si>
    <t xml:space="preserve">Rule 1: rain for step k = rain that fell in (start, end]. Never use the hour that starts at the issue time: it is in the future.</t>
  </si>
  <si>
    <t xml:space="preserve">Rule 2: radar scans are summed into whole UTC hours: depth (mm) = sum of rate (mm/h) x scan interval (h) for scans inside the hour.</t>
  </si>
  <si>
    <t xml:space="preserve">Rule 3: if an hour has too few scans (team to set, e.g. under 90% of expected), the hour is 'missing', not 0 mm, and history_ok = No.</t>
  </si>
  <si>
    <t xml:space="preserve">Rule 4: daily soil moisture (AWRA-L) for every step uses the value of the day before the issue date, so no later rain leaks in.</t>
  </si>
  <si>
    <t xml:space="preserve">Rule 5: the label uses the same convention: window (issue, issue + 6 h].</t>
  </si>
  <si>
    <t xml:space="preserve">5. Events and labels (shared)</t>
  </si>
  <si>
    <t xml:space="preserve">The label is 'flood onset at the outlet gauge in the next 6 h'. Sentinel-1 cannot give onset times, so gauges are the label source.</t>
  </si>
  <si>
    <t xml:space="preserve">Column / rule</t>
  </si>
  <si>
    <t xml:space="preserve">Definition</t>
  </si>
  <si>
    <t xml:space="preserve">One id per flood event per catchment</t>
  </si>
  <si>
    <t xml:space="preserve">Outlet gauge station number</t>
  </si>
  <si>
    <t xml:space="preserve">Registry</t>
  </si>
  <si>
    <t xml:space="preserve">First hour the river level rises above the threshold after at least 24 h below it</t>
  </si>
  <si>
    <t xml:space="preserve">Water Data Online level series</t>
  </si>
  <si>
    <t xml:space="preserve">peak_time_utc, peak_level_m</t>
  </si>
  <si>
    <t xml:space="preserve">datetime, m</t>
  </si>
  <si>
    <t xml:space="preserve">Highest level before it falls back below the threshold</t>
  </si>
  <si>
    <t xml:space="preserve">end_time_utc</t>
  </si>
  <si>
    <t xml:space="preserve">First hour back below the threshold</t>
  </si>
  <si>
    <t xml:space="preserve">class_reached</t>
  </si>
  <si>
    <t xml:space="preserve">minor / moderate / major (if class heights exist)</t>
  </si>
  <si>
    <t xml:space="preserve">BoM flood class heights</t>
  </si>
  <si>
    <t xml:space="preserve">threshold_m</t>
  </si>
  <si>
    <t xml:space="preserve">Minor flood level; if none, the fallback below</t>
  </si>
  <si>
    <t xml:space="preserve">Fallback threshold (team to agree)</t>
  </si>
  <si>
    <t xml:space="preserve">rule</t>
  </si>
  <si>
    <t xml:space="preserve">If a gauge has no flood class: a high percentile of its own hourly level record (e.g. 99th) computed on TRAINING years only</t>
  </si>
  <si>
    <t xml:space="preserve">Flash rule (team to agree)</t>
  </si>
  <si>
    <t xml:space="preserve">Optional: count as flash flood only if the rise to threshold happens within a set time (e.g. 6 h) of heavy rain starting</t>
  </si>
  <si>
    <t xml:space="preserve">Label for a sample</t>
  </si>
  <si>
    <t xml:space="preserve">1 if any onset_time_utc is in (issue, issue + 6 h], else 0</t>
  </si>
  <si>
    <t xml:space="preserve">Master table</t>
  </si>
  <si>
    <t xml:space="preserve">Excluded samples</t>
  </si>
  <si>
    <t xml:space="preserve">Issue times between onset and end of an event (already in flood) are not scored</t>
  </si>
  <si>
    <t xml:space="preserve">Split rule</t>
  </si>
  <si>
    <t xml:space="preserve">By event; at least 78 h gap between train and test events (72 h input + 6 h label); Lismore Feb-Mar 2022 held out</t>
  </si>
  <si>
    <t xml:space="preserve">Proposal T1</t>
  </si>
  <si>
    <t xml:space="preserve">6. Candidate B: how B builds its 72-step input (B's own work, not shared)</t>
  </si>
  <si>
    <t xml:space="preserve">B reads the shared registry, mask, master table and time rules. Hourly series are built once per catchment, then each sample takes the 72 rows before its issue time.</t>
  </si>
  <si>
    <t xml:space="preserve">Step</t>
  </si>
  <si>
    <t xml:space="preserve">What</t>
  </si>
  <si>
    <t xml:space="preserve">How</t>
  </si>
  <si>
    <t xml:space="preserve">Output</t>
  </si>
  <si>
    <t xml:space="preserve">Get radar files</t>
  </si>
  <si>
    <t xml:space="preserve">Download Rainfields3 netCDF files from NCI for the study period and region only (all scans)</t>
  </si>
  <si>
    <t xml:space="preserve">Raw rain rate grids (mm/h)</t>
  </si>
  <si>
    <t xml:space="preserve">Put on the common grid</t>
  </si>
  <si>
    <t xml:space="preserve">Reproject each scan to EPSG:3577 at 250 m (same grid as A) using area averaging</t>
  </si>
  <si>
    <t xml:space="preserve">Rate grids on shared grid</t>
  </si>
  <si>
    <t xml:space="preserve">Make hourly depths</t>
  </si>
  <si>
    <t xml:space="preserve">For each whole UTC hour, depth = sum(rate x scan interval); mark the hour missing if too few scans</t>
  </si>
  <si>
    <t xml:space="preserve">Hourly rain grid (mm), shared convention with A</t>
  </si>
  <si>
    <t xml:space="preserve">Catchment mean rain</t>
  </si>
  <si>
    <t xml:space="preserve">Mean of hourly depth over cells where mask = 1 (equal-area grid, so a plain mean is area-weighted)</t>
  </si>
  <si>
    <t xml:space="preserve">rain_mean_mm per catchment per hour</t>
  </si>
  <si>
    <t xml:space="preserve">Extra rain statistics (optional)</t>
  </si>
  <si>
    <t xml:space="preserve">Max, 90th percentile, share of cells above a threshold, flow-accumulation-weighted mean, upper vs lower catchment</t>
  </si>
  <si>
    <t xml:space="preserve">Added columns, tested by ablation</t>
  </si>
  <si>
    <t xml:space="preserve">Coverage check</t>
  </si>
  <si>
    <t xml:space="preserve">Share of mask cells with valid radar each hour; below the agreed level = missing</t>
  </si>
  <si>
    <t xml:space="preserve">rain_coverage per hour</t>
  </si>
  <si>
    <t xml:space="preserve">Soil wetness</t>
  </si>
  <si>
    <t xml:space="preserve">AWRA-L daily value, averaged over the mask (weight 5 km cells by overlap); attach the previous day's value to every hour</t>
  </si>
  <si>
    <t xml:space="preserve">soil_prev_day per hour</t>
  </si>
  <si>
    <t xml:space="preserve">Static vector</t>
  </si>
  <si>
    <t xml:space="preserve">Once per catchment: area, mean elevation, relief, mean slope, steep share, infiltration proxy (SLGA), sealed share (DEA, year before)</t>
  </si>
  <si>
    <t xml:space="preserve">About 8 numbers per catchment</t>
  </si>
  <si>
    <t xml:space="preserve">Assemble a sample</t>
  </si>
  <si>
    <t xml:space="preserve">For each master-table row: take the 72 hourly rows with step end in (issue - 72 h, issue]; add static vector</t>
  </si>
  <si>
    <t xml:space="preserve">Array 72 x F plus static vector</t>
  </si>
  <si>
    <t xml:space="preserve">Scale</t>
  </si>
  <si>
    <t xml:space="preserve">Scale each feature with constants from TRAINING data only</t>
  </si>
  <si>
    <t xml:space="preserve">Model-ready input</t>
  </si>
  <si>
    <t xml:space="preserve">B's hourly series table (one per catchment, built once)</t>
  </si>
  <si>
    <t xml:space="preserve">Meaning</t>
  </si>
  <si>
    <t xml:space="preserve">Unit</t>
  </si>
  <si>
    <t xml:space="preserve">Registry key</t>
  </si>
  <si>
    <t xml:space="preserve">hour_end_utc</t>
  </si>
  <si>
    <t xml:space="preserve">End of the hour (h-1, h]</t>
  </si>
  <si>
    <t xml:space="preserve">UTC</t>
  </si>
  <si>
    <t xml:space="preserve">rain_mean_mm</t>
  </si>
  <si>
    <t xml:space="preserve">Catchment-mean rain in that hour (0 = dry, blank = missing)</t>
  </si>
  <si>
    <t xml:space="preserve">mm</t>
  </si>
  <si>
    <t xml:space="preserve">rain_max_mm, rain_p90_mm, rain_frac_gt_thr</t>
  </si>
  <si>
    <t xml:space="preserve">Optional spatial statistics</t>
  </si>
  <si>
    <t xml:space="preserve">mm, mm, fraction</t>
  </si>
  <si>
    <t xml:space="preserve">rain_coverage</t>
  </si>
  <si>
    <t xml:space="preserve">Share of the mask with valid radar</t>
  </si>
  <si>
    <t xml:space="preserve">fraction</t>
  </si>
  <si>
    <t xml:space="preserve">soil_prev_day</t>
  </si>
  <si>
    <t xml:space="preserve">AWRA-L value for the previous day</t>
  </si>
  <si>
    <t xml:space="preserve">as published (check units)</t>
  </si>
  <si>
    <t xml:space="preserve">Why build per catchment, not per sample: 72 rows per sample would repeat the same hours many times; a per-catchment hourly table is sliced instead.</t>
  </si>
  <si>
    <t xml:space="preserve">7. Step-by-step plan (fits task T1, weeks 1-2, of the 8-week proposal)</t>
  </si>
  <si>
    <t xml:space="preserve">Owners are suggestions; A leads the data pipeline in the proposal.</t>
  </si>
  <si>
    <t xml:space="preserve">Week</t>
  </si>
  <si>
    <t xml:space="preserve">Task</t>
  </si>
  <si>
    <t xml:space="preserve">Owner</t>
  </si>
  <si>
    <t xml:space="preserve">Done when</t>
  </si>
  <si>
    <t xml:space="preserve">Agree region, study period, label rule and fallback threshold (sheet 5 yellow cells)</t>
  </si>
  <si>
    <t xml:space="preserve">All</t>
  </si>
  <si>
    <t xml:space="preserve">One-page data agreement signed off in chat</t>
  </si>
  <si>
    <t xml:space="preserve">Check Rainfields3 years on NCI in a browser; check AWRA-L layer and units; check Water Data Online time zone on one known peak</t>
  </si>
  <si>
    <t xml:space="preserve">B</t>
  </si>
  <si>
    <t xml:space="preserve">Three facts recorded in sheet 8</t>
  </si>
  <si>
    <t xml:space="preserve">Shortlist gauges: flood gauge map service + CAMELS-AUS in the chosen region; keep those with hourly level data</t>
  </si>
  <si>
    <t xml:space="preserve">A + B</t>
  </si>
  <si>
    <t xml:space="preserve">List of candidate gauges with coordinates</t>
  </si>
  <si>
    <t xml:space="preserve">1-2</t>
  </si>
  <si>
    <t xml:space="preserve">Download DEM-S for the region; build masks, areas and extents; keep catchments that fit the 16 km tile</t>
  </si>
  <si>
    <t xml:space="preserve">A</t>
  </si>
  <si>
    <t xml:space="preserve">Registry (sheet 2) filled, masks saved</t>
  </si>
  <si>
    <t xml:space="preserve">Download river level series; detect events; fill the event table</t>
  </si>
  <si>
    <t xml:space="preserve">Event table (sheet 5) filled</t>
  </si>
  <si>
    <t xml:space="preserve">Build master table: hourly issue times, labels, exclusions, splits, history check</t>
  </si>
  <si>
    <t xml:space="preserve">B (shared script)</t>
  </si>
  <si>
    <t xml:space="preserve">Master table with counts per split and label</t>
  </si>
  <si>
    <t xml:space="preserve">Download radar for the study period; build the hourly rain grid with the shared convention</t>
  </si>
  <si>
    <t xml:space="preserve">Hourly grid for all chosen catchments</t>
  </si>
  <si>
    <t xml:space="preserve">2-3</t>
  </si>
  <si>
    <t xml:space="preserve">Each candidate builds its own inputs from the shared files</t>
  </si>
  <si>
    <t xml:space="preserve">A, B, C</t>
  </si>
  <si>
    <t xml:space="preserve">A tiles, B sequences, C inputs for every master-table row</t>
  </si>
  <si>
    <t xml:space="preserve">Run the checks in sheet 8 before any training</t>
  </si>
  <si>
    <t xml:space="preserve">All checks pass</t>
  </si>
  <si>
    <t xml:space="preserve">8. Open checks and data tests</t>
  </si>
  <si>
    <t xml:space="preserve">Fill the result column as each item is checked.</t>
  </si>
  <si>
    <t xml:space="preserve">#</t>
  </si>
  <si>
    <t xml:space="preserve">Check</t>
  </si>
  <si>
    <t xml:space="preserve">Result</t>
  </si>
  <si>
    <t xml:space="preserve">Which years does Rainfields3 on NCI cover? (sets the earliest possible study year)</t>
  </si>
  <si>
    <t xml:space="preserve">Is the NCI THREDDS download open without an NCI account?</t>
  </si>
  <si>
    <t xml:space="preserve">AWRA-L: which layer, what units, and is the daily value 9am-to-9am local time?</t>
  </si>
  <si>
    <t xml:space="preserve">Water Data Online: time zone of downloaded series</t>
  </si>
  <si>
    <t xml:space="preserve">Which shortlisted gauges have official minor flood levels?</t>
  </si>
  <si>
    <t xml:space="preserve">Does CAMELS-AUS 02_location_boundary_area contain boundary polygons and outlet coordinates?</t>
  </si>
  <si>
    <t xml:space="preserve">Leakage test: for every sample, latest input time &lt;= issue_time_utc (A and B)</t>
  </si>
  <si>
    <t xml:space="preserve">A, B</t>
  </si>
  <si>
    <t xml:space="preserve">Count test: A, B and C each produce exactly one prediction per scored master-table row</t>
  </si>
  <si>
    <t xml:space="preserve">Split test: no event_id appears in both train and test; gap &gt;= 78 h</t>
  </si>
  <si>
    <t xml:space="preserve">Visual test: for 3 samples, A's 6 h rain map and B's last 6 hourly values describe the same storm</t>
  </si>
  <si>
    <t xml:space="preserve">Label balance: number of positive and negative rows per split recorded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</si>
</sst>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5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6.85" hidden="false" customHeight="fals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</row>
    <row r="5" customFormat="false" ht="57.45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</row>
    <row r="6" customFormat="false" ht="35.05" hidden="false" customHeight="false" outlineLevel="0" collapsed="false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</row>
    <row r="7" customFormat="false" ht="35.05" hidden="false" customHeight="false" outlineLevel="0" collapsed="false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29</v>
      </c>
      <c r="G7" s="4" t="s">
        <v>45</v>
      </c>
      <c r="H7" s="4" t="s">
        <v>46</v>
      </c>
    </row>
    <row r="8" customFormat="false" ht="35.05" hidden="false" customHeight="false" outlineLevel="0" collapsed="false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38</v>
      </c>
      <c r="H8" s="4" t="s">
        <v>53</v>
      </c>
    </row>
    <row r="9" customFormat="false" ht="46.25" hidden="false" customHeight="false" outlineLevel="0" collapsed="false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</row>
    <row r="10" customFormat="false" ht="46.25" hidden="false" customHeight="false" outlineLevel="0" collapsed="false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59</v>
      </c>
      <c r="G10" s="4" t="s">
        <v>38</v>
      </c>
      <c r="H10" s="4" t="s">
        <v>67</v>
      </c>
    </row>
    <row r="11" customFormat="false" ht="46.25" hidden="false" customHeight="false" outlineLevel="0" collapsed="false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36</v>
      </c>
      <c r="F11" s="4" t="s">
        <v>59</v>
      </c>
      <c r="G11" s="4" t="s">
        <v>38</v>
      </c>
      <c r="H11" s="4" t="s">
        <v>72</v>
      </c>
    </row>
    <row r="12" customFormat="false" ht="35.05" hidden="false" customHeight="false" outlineLevel="0" collapsed="false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58</v>
      </c>
      <c r="F12" s="4" t="s">
        <v>59</v>
      </c>
      <c r="G12" s="4" t="s">
        <v>38</v>
      </c>
      <c r="H12" s="4" t="s">
        <v>77</v>
      </c>
    </row>
    <row r="13" customFormat="false" ht="23.85" hidden="false" customHeight="false" outlineLevel="0" collapsed="false">
      <c r="A13" s="4" t="s">
        <v>78</v>
      </c>
      <c r="B13" s="4" t="s">
        <v>79</v>
      </c>
      <c r="C13" s="4" t="s">
        <v>80</v>
      </c>
      <c r="D13" s="4" t="s">
        <v>81</v>
      </c>
      <c r="E13" s="4" t="s">
        <v>58</v>
      </c>
      <c r="F13" s="4" t="s">
        <v>59</v>
      </c>
      <c r="G13" s="4" t="s">
        <v>82</v>
      </c>
      <c r="H13" s="4" t="s">
        <v>83</v>
      </c>
    </row>
    <row r="14" customFormat="false" ht="15" hidden="false" customHeight="false" outlineLevel="0" collapsed="false">
      <c r="A14" s="4" t="s">
        <v>84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 t="s">
        <v>91</v>
      </c>
    </row>
    <row r="15" customFormat="false" ht="15" hidden="false" customHeight="false" outlineLevel="0" collapsed="false">
      <c r="A15" s="4" t="s">
        <v>92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94</v>
      </c>
      <c r="G15" s="4" t="s">
        <v>97</v>
      </c>
      <c r="H15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34"/>
    <col collapsed="false" customWidth="true" hidden="false" outlineLevel="0" max="11" min="5" style="0" width="14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6" t="s">
        <v>101</v>
      </c>
      <c r="B4" s="6" t="s">
        <v>102</v>
      </c>
      <c r="C4" s="6" t="s">
        <v>103</v>
      </c>
      <c r="D4" s="6" t="s">
        <v>16</v>
      </c>
    </row>
    <row r="5" customFormat="false" ht="23.85" hidden="false" customHeight="false" outlineLevel="0" collapsed="false">
      <c r="A5" s="4" t="s">
        <v>104</v>
      </c>
      <c r="B5" s="4" t="s">
        <v>105</v>
      </c>
      <c r="C5" s="4" t="s">
        <v>106</v>
      </c>
      <c r="D5" s="4" t="s">
        <v>107</v>
      </c>
    </row>
    <row r="6" customFormat="false" ht="15" hidden="false" customHeight="false" outlineLevel="0" collapsed="false">
      <c r="A6" s="4" t="s">
        <v>108</v>
      </c>
      <c r="B6" s="4" t="s">
        <v>105</v>
      </c>
      <c r="C6" s="4" t="s">
        <v>109</v>
      </c>
      <c r="D6" s="4" t="s">
        <v>110</v>
      </c>
    </row>
    <row r="7" customFormat="false" ht="23.85" hidden="false" customHeight="false" outlineLevel="0" collapsed="false">
      <c r="A7" s="4" t="s">
        <v>111</v>
      </c>
      <c r="B7" s="4" t="s">
        <v>112</v>
      </c>
      <c r="C7" s="4" t="s">
        <v>113</v>
      </c>
      <c r="D7" s="4" t="s">
        <v>114</v>
      </c>
    </row>
    <row r="8" customFormat="false" ht="23.85" hidden="false" customHeight="false" outlineLevel="0" collapsed="false">
      <c r="A8" s="4" t="s">
        <v>115</v>
      </c>
      <c r="B8" s="4" t="s">
        <v>116</v>
      </c>
      <c r="C8" s="4" t="s">
        <v>117</v>
      </c>
      <c r="D8" s="4" t="s">
        <v>118</v>
      </c>
    </row>
    <row r="9" customFormat="false" ht="15" hidden="false" customHeight="false" outlineLevel="0" collapsed="false">
      <c r="A9" s="4" t="s">
        <v>119</v>
      </c>
      <c r="B9" s="4" t="s">
        <v>105</v>
      </c>
      <c r="C9" s="4" t="s">
        <v>120</v>
      </c>
      <c r="D9" s="4" t="s">
        <v>121</v>
      </c>
    </row>
    <row r="10" customFormat="false" ht="23.85" hidden="false" customHeight="false" outlineLevel="0" collapsed="false">
      <c r="A10" s="4" t="s">
        <v>122</v>
      </c>
      <c r="B10" s="4" t="s">
        <v>123</v>
      </c>
      <c r="C10" s="4" t="s">
        <v>124</v>
      </c>
      <c r="D10" s="4" t="s">
        <v>125</v>
      </c>
    </row>
    <row r="11" customFormat="false" ht="23.85" hidden="false" customHeight="false" outlineLevel="0" collapsed="false">
      <c r="A11" s="4" t="s">
        <v>126</v>
      </c>
      <c r="B11" s="4" t="s">
        <v>127</v>
      </c>
      <c r="C11" s="4" t="s">
        <v>128</v>
      </c>
      <c r="D11" s="4" t="s">
        <v>118</v>
      </c>
    </row>
    <row r="12" customFormat="false" ht="23.85" hidden="false" customHeight="false" outlineLevel="0" collapsed="false">
      <c r="A12" s="4" t="s">
        <v>129</v>
      </c>
      <c r="B12" s="4" t="s">
        <v>127</v>
      </c>
      <c r="C12" s="4" t="s">
        <v>130</v>
      </c>
      <c r="D12" s="4" t="s">
        <v>118</v>
      </c>
    </row>
    <row r="13" customFormat="false" ht="23.85" hidden="false" customHeight="false" outlineLevel="0" collapsed="false">
      <c r="A13" s="4" t="s">
        <v>131</v>
      </c>
      <c r="B13" s="4" t="s">
        <v>132</v>
      </c>
      <c r="C13" s="4" t="s">
        <v>133</v>
      </c>
      <c r="D13" s="4" t="s">
        <v>118</v>
      </c>
    </row>
    <row r="14" customFormat="false" ht="23.85" hidden="false" customHeight="false" outlineLevel="0" collapsed="false">
      <c r="A14" s="4" t="s">
        <v>134</v>
      </c>
      <c r="B14" s="4" t="s">
        <v>116</v>
      </c>
      <c r="C14" s="4" t="s">
        <v>135</v>
      </c>
      <c r="D14" s="4" t="s">
        <v>136</v>
      </c>
    </row>
    <row r="15" customFormat="false" ht="15" hidden="false" customHeight="false" outlineLevel="0" collapsed="false">
      <c r="A15" s="4" t="s">
        <v>137</v>
      </c>
      <c r="B15" s="4" t="s">
        <v>105</v>
      </c>
      <c r="C15" s="4" t="s">
        <v>138</v>
      </c>
      <c r="D15" s="4" t="s">
        <v>139</v>
      </c>
    </row>
    <row r="16" customFormat="false" ht="23.85" hidden="false" customHeight="false" outlineLevel="0" collapsed="false">
      <c r="A16" s="4" t="s">
        <v>140</v>
      </c>
      <c r="B16" s="4" t="s">
        <v>127</v>
      </c>
      <c r="C16" s="4" t="s">
        <v>141</v>
      </c>
      <c r="D16" s="4" t="s">
        <v>142</v>
      </c>
    </row>
    <row r="17" customFormat="false" ht="15" hidden="false" customHeight="false" outlineLevel="0" collapsed="false">
      <c r="A17" s="4" t="s">
        <v>143</v>
      </c>
      <c r="B17" s="4" t="s">
        <v>105</v>
      </c>
      <c r="C17" s="4" t="s">
        <v>144</v>
      </c>
      <c r="D17" s="4" t="s">
        <v>145</v>
      </c>
    </row>
    <row r="18" customFormat="false" ht="15" hidden="false" customHeight="false" outlineLevel="0" collapsed="false">
      <c r="A18" s="4" t="s">
        <v>146</v>
      </c>
      <c r="B18" s="4" t="s">
        <v>147</v>
      </c>
      <c r="C18" s="4" t="s">
        <v>148</v>
      </c>
      <c r="D18" s="4" t="s">
        <v>149</v>
      </c>
    </row>
    <row r="19" customFormat="false" ht="15" hidden="false" customHeight="false" outlineLevel="0" collapsed="false">
      <c r="A19" s="4" t="s">
        <v>150</v>
      </c>
      <c r="B19" s="4" t="s">
        <v>105</v>
      </c>
      <c r="C19" s="4" t="s">
        <v>151</v>
      </c>
      <c r="D19" s="4" t="s">
        <v>152</v>
      </c>
    </row>
    <row r="21" customFormat="false" ht="15" hidden="false" customHeight="false" outlineLevel="0" collapsed="false">
      <c r="A21" s="7" t="s">
        <v>153</v>
      </c>
    </row>
    <row r="22" customFormat="false" ht="15" hidden="false" customHeight="false" outlineLevel="0" collapsed="false">
      <c r="A22" s="8" t="s">
        <v>104</v>
      </c>
      <c r="B22" s="8" t="s">
        <v>108</v>
      </c>
      <c r="C22" s="8" t="s">
        <v>154</v>
      </c>
      <c r="D22" s="8" t="s">
        <v>155</v>
      </c>
      <c r="E22" s="8" t="s">
        <v>119</v>
      </c>
      <c r="F22" s="8" t="s">
        <v>126</v>
      </c>
      <c r="G22" s="8" t="s">
        <v>156</v>
      </c>
      <c r="H22" s="8" t="s">
        <v>157</v>
      </c>
      <c r="I22" s="8" t="s">
        <v>131</v>
      </c>
      <c r="J22" s="8" t="s">
        <v>158</v>
      </c>
      <c r="K22" s="8" t="s">
        <v>143</v>
      </c>
    </row>
    <row r="23" customFormat="false" ht="15" hidden="false" customHeight="false" outlineLevel="0" collapsed="false">
      <c r="A23" s="9" t="s">
        <v>159</v>
      </c>
      <c r="B23" s="9" t="s">
        <v>160</v>
      </c>
      <c r="C23" s="9" t="n">
        <v>-28.7</v>
      </c>
      <c r="D23" s="9" t="n">
        <v>153.3</v>
      </c>
      <c r="E23" s="9" t="s">
        <v>161</v>
      </c>
      <c r="F23" s="9" t="n">
        <v>85</v>
      </c>
      <c r="G23" s="9" t="n">
        <v>12.5</v>
      </c>
      <c r="H23" s="9" t="n">
        <v>9</v>
      </c>
      <c r="I23" s="9" t="str">
        <f aca="false">IF(AND(G23&lt;16,H23&lt;16),"Yes","No")</f>
        <v>Yes</v>
      </c>
      <c r="J23" s="9" t="n">
        <v>3.5</v>
      </c>
      <c r="K23" s="9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12" min="5" style="0" width="18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6" t="s">
        <v>165</v>
      </c>
      <c r="B4" s="6" t="s">
        <v>102</v>
      </c>
      <c r="C4" s="6" t="s">
        <v>166</v>
      </c>
      <c r="D4" s="6" t="s">
        <v>167</v>
      </c>
    </row>
    <row r="5" customFormat="false" ht="15" hidden="false" customHeight="false" outlineLevel="0" collapsed="false">
      <c r="A5" s="4" t="s">
        <v>168</v>
      </c>
      <c r="B5" s="4" t="s">
        <v>105</v>
      </c>
      <c r="C5" s="4" t="s">
        <v>169</v>
      </c>
      <c r="D5" s="4" t="s">
        <v>170</v>
      </c>
    </row>
    <row r="6" customFormat="false" ht="15" hidden="false" customHeight="false" outlineLevel="0" collapsed="false">
      <c r="A6" s="4" t="s">
        <v>104</v>
      </c>
      <c r="B6" s="4" t="s">
        <v>105</v>
      </c>
      <c r="C6" s="4" t="s">
        <v>171</v>
      </c>
      <c r="D6" s="4" t="s">
        <v>172</v>
      </c>
    </row>
    <row r="7" customFormat="false" ht="15" hidden="false" customHeight="false" outlineLevel="0" collapsed="false">
      <c r="A7" s="4" t="s">
        <v>173</v>
      </c>
      <c r="B7" s="4" t="s">
        <v>174</v>
      </c>
      <c r="C7" s="4" t="s">
        <v>175</v>
      </c>
      <c r="D7" s="4" t="s">
        <v>172</v>
      </c>
    </row>
    <row r="8" customFormat="false" ht="15" hidden="false" customHeight="false" outlineLevel="0" collapsed="false">
      <c r="A8" s="4" t="s">
        <v>176</v>
      </c>
      <c r="B8" s="4" t="s">
        <v>174</v>
      </c>
      <c r="C8" s="4" t="s">
        <v>177</v>
      </c>
      <c r="D8" s="4" t="s">
        <v>178</v>
      </c>
    </row>
    <row r="9" customFormat="false" ht="15" hidden="false" customHeight="false" outlineLevel="0" collapsed="false">
      <c r="A9" s="4" t="s">
        <v>179</v>
      </c>
      <c r="B9" s="4" t="s">
        <v>174</v>
      </c>
      <c r="C9" s="4" t="s">
        <v>180</v>
      </c>
      <c r="D9" s="4" t="s">
        <v>178</v>
      </c>
    </row>
    <row r="10" customFormat="false" ht="15" hidden="false" customHeight="false" outlineLevel="0" collapsed="false">
      <c r="A10" s="4" t="s">
        <v>181</v>
      </c>
      <c r="B10" s="4" t="s">
        <v>182</v>
      </c>
      <c r="C10" s="4" t="s">
        <v>183</v>
      </c>
      <c r="D10" s="4" t="s">
        <v>170</v>
      </c>
    </row>
    <row r="11" customFormat="false" ht="15" hidden="false" customHeight="false" outlineLevel="0" collapsed="false">
      <c r="A11" s="4" t="s">
        <v>184</v>
      </c>
      <c r="B11" s="4" t="s">
        <v>174</v>
      </c>
      <c r="C11" s="4" t="s">
        <v>185</v>
      </c>
      <c r="D11" s="4" t="s">
        <v>186</v>
      </c>
    </row>
    <row r="12" customFormat="false" ht="15" hidden="false" customHeight="false" outlineLevel="0" collapsed="false">
      <c r="A12" s="4" t="s">
        <v>187</v>
      </c>
      <c r="B12" s="4" t="s">
        <v>105</v>
      </c>
      <c r="C12" s="4" t="s">
        <v>188</v>
      </c>
      <c r="D12" s="4" t="s">
        <v>186</v>
      </c>
    </row>
    <row r="13" customFormat="false" ht="15" hidden="false" customHeight="false" outlineLevel="0" collapsed="false">
      <c r="A13" s="4" t="s">
        <v>189</v>
      </c>
      <c r="B13" s="4" t="s">
        <v>105</v>
      </c>
      <c r="C13" s="4" t="s">
        <v>190</v>
      </c>
      <c r="D13" s="4" t="s">
        <v>191</v>
      </c>
    </row>
    <row r="14" customFormat="false" ht="23.85" hidden="false" customHeight="false" outlineLevel="0" collapsed="false">
      <c r="A14" s="4" t="s">
        <v>192</v>
      </c>
      <c r="B14" s="4" t="s">
        <v>132</v>
      </c>
      <c r="C14" s="4" t="s">
        <v>193</v>
      </c>
      <c r="D14" s="4" t="s">
        <v>194</v>
      </c>
    </row>
    <row r="15" customFormat="false" ht="23.85" hidden="false" customHeight="false" outlineLevel="0" collapsed="false">
      <c r="A15" s="4" t="s">
        <v>195</v>
      </c>
      <c r="B15" s="4" t="s">
        <v>132</v>
      </c>
      <c r="C15" s="4" t="s">
        <v>196</v>
      </c>
      <c r="D15" s="4" t="s">
        <v>194</v>
      </c>
    </row>
    <row r="16" customFormat="false" ht="15" hidden="false" customHeight="false" outlineLevel="0" collapsed="false">
      <c r="A16" s="4" t="s">
        <v>197</v>
      </c>
      <c r="B16" s="4" t="s">
        <v>132</v>
      </c>
      <c r="C16" s="4" t="s">
        <v>198</v>
      </c>
      <c r="D16" s="4" t="s">
        <v>178</v>
      </c>
    </row>
    <row r="18" customFormat="false" ht="15" hidden="false" customHeight="false" outlineLevel="0" collapsed="false">
      <c r="A18" s="7" t="s">
        <v>199</v>
      </c>
    </row>
    <row r="19" customFormat="false" ht="22.35" hidden="false" customHeight="false" outlineLevel="0" collapsed="false">
      <c r="A19" s="10" t="s">
        <v>168</v>
      </c>
      <c r="B19" s="10" t="s">
        <v>104</v>
      </c>
      <c r="C19" s="10" t="s">
        <v>173</v>
      </c>
      <c r="D19" s="10" t="s">
        <v>176</v>
      </c>
      <c r="E19" s="10" t="s">
        <v>179</v>
      </c>
      <c r="F19" s="10" t="s">
        <v>181</v>
      </c>
      <c r="G19" s="10" t="s">
        <v>184</v>
      </c>
      <c r="H19" s="10" t="s">
        <v>187</v>
      </c>
      <c r="I19" s="10" t="s">
        <v>189</v>
      </c>
      <c r="J19" s="10" t="s">
        <v>192</v>
      </c>
      <c r="K19" s="10" t="s">
        <v>195</v>
      </c>
      <c r="L19" s="10" t="s">
        <v>197</v>
      </c>
    </row>
    <row r="20" customFormat="false" ht="15" hidden="false" customHeight="false" outlineLevel="0" collapsed="false">
      <c r="A20" s="9" t="s">
        <v>200</v>
      </c>
      <c r="B20" s="9" t="s">
        <v>159</v>
      </c>
      <c r="C20" s="11" t="n">
        <v>44619.75</v>
      </c>
      <c r="D20" s="11" t="n">
        <f aca="false">C20-72/24</f>
        <v>44616.75</v>
      </c>
      <c r="E20" s="11" t="n">
        <f aca="false">C20+6/24</f>
        <v>44620</v>
      </c>
      <c r="F20" s="9" t="n">
        <v>1</v>
      </c>
      <c r="G20" s="11" t="n">
        <v>44619.875</v>
      </c>
      <c r="H20" s="9" t="s">
        <v>201</v>
      </c>
      <c r="I20" s="9" t="s">
        <v>202</v>
      </c>
      <c r="J20" s="9" t="s">
        <v>38</v>
      </c>
      <c r="K20" s="9" t="s">
        <v>59</v>
      </c>
      <c r="L20" s="9" t="str">
        <f aca="false">IF(AND(J20="Yes",K20="No"),"Yes","No")</f>
        <v>Yes</v>
      </c>
    </row>
    <row r="21" customFormat="false" ht="15" hidden="false" customHeight="false" outlineLevel="0" collapsed="false">
      <c r="A21" s="9" t="s">
        <v>203</v>
      </c>
      <c r="B21" s="9" t="s">
        <v>159</v>
      </c>
      <c r="C21" s="11" t="n">
        <v>44620</v>
      </c>
      <c r="D21" s="11" t="n">
        <f aca="false">C21-72/24</f>
        <v>44617</v>
      </c>
      <c r="E21" s="11" t="n">
        <f aca="false">C21+6/24</f>
        <v>44620.25</v>
      </c>
      <c r="F21" s="9" t="n">
        <v>0</v>
      </c>
      <c r="G21" s="11"/>
      <c r="H21" s="9" t="s">
        <v>201</v>
      </c>
      <c r="I21" s="9" t="s">
        <v>202</v>
      </c>
      <c r="J21" s="9" t="s">
        <v>38</v>
      </c>
      <c r="K21" s="9" t="s">
        <v>38</v>
      </c>
      <c r="L21" s="9" t="str">
        <f aca="false">IF(AND(J21="Yes",K21="No"),"Yes","No")</f>
        <v>No</v>
      </c>
    </row>
    <row r="22" customFormat="false" ht="15" hidden="false" customHeight="false" outlineLevel="0" collapsed="false">
      <c r="A22" s="9" t="s">
        <v>204</v>
      </c>
      <c r="B22" s="9" t="s">
        <v>159</v>
      </c>
      <c r="C22" s="11" t="n">
        <v>44359.25</v>
      </c>
      <c r="D22" s="11" t="n">
        <f aca="false">C22-72/24</f>
        <v>44356.25</v>
      </c>
      <c r="E22" s="11" t="n">
        <f aca="false">C22+6/24</f>
        <v>44359.5</v>
      </c>
      <c r="F22" s="9" t="n">
        <v>0</v>
      </c>
      <c r="G22" s="11"/>
      <c r="H22" s="9"/>
      <c r="I22" s="9" t="s">
        <v>205</v>
      </c>
      <c r="J22" s="9" t="s">
        <v>59</v>
      </c>
      <c r="K22" s="9" t="s">
        <v>59</v>
      </c>
      <c r="L22" s="9" t="str">
        <f aca="false">IF(AND(J22="Yes",K22="No"),"Yes","No")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8" min="7" style="0" width="22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7" t="s">
        <v>208</v>
      </c>
      <c r="B4" s="12" t="n">
        <v>44619.75</v>
      </c>
      <c r="C4" s="13" t="s">
        <v>209</v>
      </c>
    </row>
    <row r="6" customFormat="false" ht="26.85" hidden="false" customHeight="false" outlineLevel="0" collapsed="false">
      <c r="A6" s="6" t="s">
        <v>210</v>
      </c>
      <c r="B6" s="6" t="s">
        <v>211</v>
      </c>
      <c r="C6" s="6" t="s">
        <v>212</v>
      </c>
      <c r="D6" s="6" t="s">
        <v>213</v>
      </c>
      <c r="E6" s="6" t="s">
        <v>214</v>
      </c>
      <c r="F6" s="6" t="s">
        <v>215</v>
      </c>
      <c r="G6" s="6" t="s">
        <v>216</v>
      </c>
      <c r="H6" s="6" t="s">
        <v>217</v>
      </c>
    </row>
    <row r="7" customFormat="false" ht="15" hidden="false" customHeight="false" outlineLevel="0" collapsed="false">
      <c r="A7" s="14" t="n">
        <v>1</v>
      </c>
      <c r="B7" s="14" t="n">
        <f aca="false">-A7</f>
        <v>-1</v>
      </c>
      <c r="C7" s="14" t="n">
        <f aca="false">-(A7-1)</f>
        <v>-0</v>
      </c>
      <c r="D7" s="14" t="str">
        <f aca="false">IF(A7&lt;=6,"Yes","No")</f>
        <v>Yes</v>
      </c>
      <c r="E7" s="14" t="str">
        <f aca="false">IF(A7=1,"1 h, 3 h, 6 h",IF(A7&lt;=3,"3 h, 6 h",IF(A7&lt;=6,"6 h","-")))</f>
        <v>1 h, 3 h, 6 h</v>
      </c>
      <c r="F7" s="14" t="s">
        <v>38</v>
      </c>
      <c r="G7" s="15" t="n">
        <f aca="false">$B$4+B7/24</f>
        <v>44619.7083333333</v>
      </c>
      <c r="H7" s="15" t="n">
        <f aca="false">$B$4+C7/24</f>
        <v>44619.75</v>
      </c>
    </row>
    <row r="8" customFormat="false" ht="15" hidden="false" customHeight="false" outlineLevel="0" collapsed="false">
      <c r="A8" s="14" t="n">
        <v>2</v>
      </c>
      <c r="B8" s="14" t="n">
        <f aca="false">-A8</f>
        <v>-2</v>
      </c>
      <c r="C8" s="14" t="n">
        <f aca="false">-(A8-1)</f>
        <v>-1</v>
      </c>
      <c r="D8" s="14" t="str">
        <f aca="false">IF(A8&lt;=6,"Yes","No")</f>
        <v>Yes</v>
      </c>
      <c r="E8" s="14" t="str">
        <f aca="false">IF(A8=1,"1 h, 3 h, 6 h",IF(A8&lt;=3,"3 h, 6 h",IF(A8&lt;=6,"6 h","-")))</f>
        <v>3 h, 6 h</v>
      </c>
      <c r="F8" s="14" t="s">
        <v>38</v>
      </c>
      <c r="G8" s="15" t="n">
        <f aca="false">$B$4+B8/24</f>
        <v>44619.6666666667</v>
      </c>
      <c r="H8" s="15" t="n">
        <f aca="false">$B$4+C8/24</f>
        <v>44619.7083333333</v>
      </c>
    </row>
    <row r="9" customFormat="false" ht="15" hidden="false" customHeight="false" outlineLevel="0" collapsed="false">
      <c r="A9" s="14" t="n">
        <v>3</v>
      </c>
      <c r="B9" s="14" t="n">
        <f aca="false">-A9</f>
        <v>-3</v>
      </c>
      <c r="C9" s="14" t="n">
        <f aca="false">-(A9-1)</f>
        <v>-2</v>
      </c>
      <c r="D9" s="14" t="str">
        <f aca="false">IF(A9&lt;=6,"Yes","No")</f>
        <v>Yes</v>
      </c>
      <c r="E9" s="14" t="str">
        <f aca="false">IF(A9=1,"1 h, 3 h, 6 h",IF(A9&lt;=3,"3 h, 6 h",IF(A9&lt;=6,"6 h","-")))</f>
        <v>3 h, 6 h</v>
      </c>
      <c r="F9" s="14" t="s">
        <v>38</v>
      </c>
      <c r="G9" s="15" t="n">
        <f aca="false">$B$4+B9/24</f>
        <v>44619.625</v>
      </c>
      <c r="H9" s="15" t="n">
        <f aca="false">$B$4+C9/24</f>
        <v>44619.6666666667</v>
      </c>
    </row>
    <row r="10" customFormat="false" ht="15" hidden="false" customHeight="false" outlineLevel="0" collapsed="false">
      <c r="A10" s="14" t="n">
        <v>4</v>
      </c>
      <c r="B10" s="14" t="n">
        <f aca="false">-A10</f>
        <v>-4</v>
      </c>
      <c r="C10" s="14" t="n">
        <f aca="false">-(A10-1)</f>
        <v>-3</v>
      </c>
      <c r="D10" s="14" t="str">
        <f aca="false">IF(A10&lt;=6,"Yes","No")</f>
        <v>Yes</v>
      </c>
      <c r="E10" s="14" t="str">
        <f aca="false">IF(A10=1,"1 h, 3 h, 6 h",IF(A10&lt;=3,"3 h, 6 h",IF(A10&lt;=6,"6 h","-")))</f>
        <v>6 h</v>
      </c>
      <c r="F10" s="14" t="s">
        <v>38</v>
      </c>
      <c r="G10" s="15" t="n">
        <f aca="false">$B$4+B10/24</f>
        <v>44619.5833333333</v>
      </c>
      <c r="H10" s="15" t="n">
        <f aca="false">$B$4+C10/24</f>
        <v>44619.625</v>
      </c>
    </row>
    <row r="11" customFormat="false" ht="15" hidden="false" customHeight="false" outlineLevel="0" collapsed="false">
      <c r="A11" s="14" t="n">
        <v>5</v>
      </c>
      <c r="B11" s="14" t="n">
        <f aca="false">-A11</f>
        <v>-5</v>
      </c>
      <c r="C11" s="14" t="n">
        <f aca="false">-(A11-1)</f>
        <v>-4</v>
      </c>
      <c r="D11" s="14" t="str">
        <f aca="false">IF(A11&lt;=6,"Yes","No")</f>
        <v>Yes</v>
      </c>
      <c r="E11" s="14" t="str">
        <f aca="false">IF(A11=1,"1 h, 3 h, 6 h",IF(A11&lt;=3,"3 h, 6 h",IF(A11&lt;=6,"6 h","-")))</f>
        <v>6 h</v>
      </c>
      <c r="F11" s="14" t="s">
        <v>38</v>
      </c>
      <c r="G11" s="15" t="n">
        <f aca="false">$B$4+B11/24</f>
        <v>44619.5416666667</v>
      </c>
      <c r="H11" s="15" t="n">
        <f aca="false">$B$4+C11/24</f>
        <v>44619.5833333333</v>
      </c>
    </row>
    <row r="12" customFormat="false" ht="15" hidden="false" customHeight="false" outlineLevel="0" collapsed="false">
      <c r="A12" s="14" t="n">
        <v>6</v>
      </c>
      <c r="B12" s="14" t="n">
        <f aca="false">-A12</f>
        <v>-6</v>
      </c>
      <c r="C12" s="14" t="n">
        <f aca="false">-(A12-1)</f>
        <v>-5</v>
      </c>
      <c r="D12" s="14" t="str">
        <f aca="false">IF(A12&lt;=6,"Yes","No")</f>
        <v>Yes</v>
      </c>
      <c r="E12" s="14" t="str">
        <f aca="false">IF(A12=1,"1 h, 3 h, 6 h",IF(A12&lt;=3,"3 h, 6 h",IF(A12&lt;=6,"6 h","-")))</f>
        <v>6 h</v>
      </c>
      <c r="F12" s="14" t="s">
        <v>38</v>
      </c>
      <c r="G12" s="15" t="n">
        <f aca="false">$B$4+B12/24</f>
        <v>44619.5</v>
      </c>
      <c r="H12" s="15" t="n">
        <f aca="false">$B$4+C12/24</f>
        <v>44619.5416666667</v>
      </c>
    </row>
    <row r="13" customFormat="false" ht="15" hidden="false" customHeight="false" outlineLevel="0" collapsed="false">
      <c r="A13" s="14" t="n">
        <v>7</v>
      </c>
      <c r="B13" s="14" t="n">
        <f aca="false">-A13</f>
        <v>-7</v>
      </c>
      <c r="C13" s="14" t="n">
        <f aca="false">-(A13-1)</f>
        <v>-6</v>
      </c>
      <c r="D13" s="14" t="str">
        <f aca="false">IF(A13&lt;=6,"Yes","No")</f>
        <v>No</v>
      </c>
      <c r="E13" s="14" t="str">
        <f aca="false">IF(A13=1,"1 h, 3 h, 6 h",IF(A13&lt;=3,"3 h, 6 h",IF(A13&lt;=6,"6 h","-")))</f>
        <v>-</v>
      </c>
      <c r="F13" s="14" t="s">
        <v>38</v>
      </c>
      <c r="G13" s="15" t="n">
        <f aca="false">$B$4+B13/24</f>
        <v>44619.4583333333</v>
      </c>
      <c r="H13" s="15" t="n">
        <f aca="false">$B$4+C13/24</f>
        <v>44619.5</v>
      </c>
    </row>
    <row r="14" customFormat="false" ht="15" hidden="false" customHeight="false" outlineLevel="0" collapsed="false">
      <c r="A14" s="14" t="n">
        <v>8</v>
      </c>
      <c r="B14" s="14" t="n">
        <f aca="false">-A14</f>
        <v>-8</v>
      </c>
      <c r="C14" s="14" t="n">
        <f aca="false">-(A14-1)</f>
        <v>-7</v>
      </c>
      <c r="D14" s="14" t="str">
        <f aca="false">IF(A14&lt;=6,"Yes","No")</f>
        <v>No</v>
      </c>
      <c r="E14" s="14" t="str">
        <f aca="false">IF(A14=1,"1 h, 3 h, 6 h",IF(A14&lt;=3,"3 h, 6 h",IF(A14&lt;=6,"6 h","-")))</f>
        <v>-</v>
      </c>
      <c r="F14" s="14" t="s">
        <v>38</v>
      </c>
      <c r="G14" s="15" t="n">
        <f aca="false">$B$4+B14/24</f>
        <v>44619.4166666667</v>
      </c>
      <c r="H14" s="15" t="n">
        <f aca="false">$B$4+C14/24</f>
        <v>44619.4583333333</v>
      </c>
    </row>
    <row r="15" customFormat="false" ht="15" hidden="false" customHeight="false" outlineLevel="0" collapsed="false">
      <c r="A15" s="14" t="n">
        <v>9</v>
      </c>
      <c r="B15" s="14" t="n">
        <f aca="false">-A15</f>
        <v>-9</v>
      </c>
      <c r="C15" s="14" t="n">
        <f aca="false">-(A15-1)</f>
        <v>-8</v>
      </c>
      <c r="D15" s="14" t="str">
        <f aca="false">IF(A15&lt;=6,"Yes","No")</f>
        <v>No</v>
      </c>
      <c r="E15" s="14" t="str">
        <f aca="false">IF(A15=1,"1 h, 3 h, 6 h",IF(A15&lt;=3,"3 h, 6 h",IF(A15&lt;=6,"6 h","-")))</f>
        <v>-</v>
      </c>
      <c r="F15" s="14" t="s">
        <v>38</v>
      </c>
      <c r="G15" s="15" t="n">
        <f aca="false">$B$4+B15/24</f>
        <v>44619.375</v>
      </c>
      <c r="H15" s="15" t="n">
        <f aca="false">$B$4+C15/24</f>
        <v>44619.4166666667</v>
      </c>
    </row>
    <row r="16" customFormat="false" ht="15" hidden="false" customHeight="false" outlineLevel="0" collapsed="false">
      <c r="A16" s="14" t="n">
        <v>10</v>
      </c>
      <c r="B16" s="14" t="n">
        <f aca="false">-A16</f>
        <v>-10</v>
      </c>
      <c r="C16" s="14" t="n">
        <f aca="false">-(A16-1)</f>
        <v>-9</v>
      </c>
      <c r="D16" s="14" t="str">
        <f aca="false">IF(A16&lt;=6,"Yes","No")</f>
        <v>No</v>
      </c>
      <c r="E16" s="14" t="str">
        <f aca="false">IF(A16=1,"1 h, 3 h, 6 h",IF(A16&lt;=3,"3 h, 6 h",IF(A16&lt;=6,"6 h","-")))</f>
        <v>-</v>
      </c>
      <c r="F16" s="14" t="s">
        <v>38</v>
      </c>
      <c r="G16" s="15" t="n">
        <f aca="false">$B$4+B16/24</f>
        <v>44619.3333333333</v>
      </c>
      <c r="H16" s="15" t="n">
        <f aca="false">$B$4+C16/24</f>
        <v>44619.375</v>
      </c>
    </row>
    <row r="17" customFormat="false" ht="15" hidden="false" customHeight="false" outlineLevel="0" collapsed="false">
      <c r="A17" s="14" t="n">
        <v>11</v>
      </c>
      <c r="B17" s="14" t="n">
        <f aca="false">-A17</f>
        <v>-11</v>
      </c>
      <c r="C17" s="14" t="n">
        <f aca="false">-(A17-1)</f>
        <v>-10</v>
      </c>
      <c r="D17" s="14" t="str">
        <f aca="false">IF(A17&lt;=6,"Yes","No")</f>
        <v>No</v>
      </c>
      <c r="E17" s="14" t="str">
        <f aca="false">IF(A17=1,"1 h, 3 h, 6 h",IF(A17&lt;=3,"3 h, 6 h",IF(A17&lt;=6,"6 h","-")))</f>
        <v>-</v>
      </c>
      <c r="F17" s="14" t="s">
        <v>38</v>
      </c>
      <c r="G17" s="15" t="n">
        <f aca="false">$B$4+B17/24</f>
        <v>44619.2916666667</v>
      </c>
      <c r="H17" s="15" t="n">
        <f aca="false">$B$4+C17/24</f>
        <v>44619.3333333333</v>
      </c>
    </row>
    <row r="18" customFormat="false" ht="15" hidden="false" customHeight="false" outlineLevel="0" collapsed="false">
      <c r="A18" s="14" t="n">
        <v>12</v>
      </c>
      <c r="B18" s="14" t="n">
        <f aca="false">-A18</f>
        <v>-12</v>
      </c>
      <c r="C18" s="14" t="n">
        <f aca="false">-(A18-1)</f>
        <v>-11</v>
      </c>
      <c r="D18" s="14" t="str">
        <f aca="false">IF(A18&lt;=6,"Yes","No")</f>
        <v>No</v>
      </c>
      <c r="E18" s="14" t="str">
        <f aca="false">IF(A18=1,"1 h, 3 h, 6 h",IF(A18&lt;=3,"3 h, 6 h",IF(A18&lt;=6,"6 h","-")))</f>
        <v>-</v>
      </c>
      <c r="F18" s="14" t="s">
        <v>38</v>
      </c>
      <c r="G18" s="15" t="n">
        <f aca="false">$B$4+B18/24</f>
        <v>44619.25</v>
      </c>
      <c r="H18" s="15" t="n">
        <f aca="false">$B$4+C18/24</f>
        <v>44619.2916666667</v>
      </c>
    </row>
    <row r="19" customFormat="false" ht="15" hidden="false" customHeight="false" outlineLevel="0" collapsed="false">
      <c r="A19" s="14" t="n">
        <v>13</v>
      </c>
      <c r="B19" s="14" t="n">
        <f aca="false">-A19</f>
        <v>-13</v>
      </c>
      <c r="C19" s="14" t="n">
        <f aca="false">-(A19-1)</f>
        <v>-12</v>
      </c>
      <c r="D19" s="14" t="str">
        <f aca="false">IF(A19&lt;=6,"Yes","No")</f>
        <v>No</v>
      </c>
      <c r="E19" s="14" t="str">
        <f aca="false">IF(A19=1,"1 h, 3 h, 6 h",IF(A19&lt;=3,"3 h, 6 h",IF(A19&lt;=6,"6 h","-")))</f>
        <v>-</v>
      </c>
      <c r="F19" s="14" t="s">
        <v>38</v>
      </c>
      <c r="G19" s="15" t="n">
        <f aca="false">$B$4+B19/24</f>
        <v>44619.2083333333</v>
      </c>
      <c r="H19" s="15" t="n">
        <f aca="false">$B$4+C19/24</f>
        <v>44619.25</v>
      </c>
    </row>
    <row r="20" customFormat="false" ht="15" hidden="false" customHeight="false" outlineLevel="0" collapsed="false">
      <c r="A20" s="14" t="n">
        <v>14</v>
      </c>
      <c r="B20" s="14" t="n">
        <f aca="false">-A20</f>
        <v>-14</v>
      </c>
      <c r="C20" s="14" t="n">
        <f aca="false">-(A20-1)</f>
        <v>-13</v>
      </c>
      <c r="D20" s="14" t="str">
        <f aca="false">IF(A20&lt;=6,"Yes","No")</f>
        <v>No</v>
      </c>
      <c r="E20" s="14" t="str">
        <f aca="false">IF(A20=1,"1 h, 3 h, 6 h",IF(A20&lt;=3,"3 h, 6 h",IF(A20&lt;=6,"6 h","-")))</f>
        <v>-</v>
      </c>
      <c r="F20" s="14" t="s">
        <v>38</v>
      </c>
      <c r="G20" s="15" t="n">
        <f aca="false">$B$4+B20/24</f>
        <v>44619.1666666667</v>
      </c>
      <c r="H20" s="15" t="n">
        <f aca="false">$B$4+C20/24</f>
        <v>44619.2083333333</v>
      </c>
    </row>
    <row r="21" customFormat="false" ht="15" hidden="false" customHeight="false" outlineLevel="0" collapsed="false">
      <c r="A21" s="14" t="n">
        <v>15</v>
      </c>
      <c r="B21" s="14" t="n">
        <f aca="false">-A21</f>
        <v>-15</v>
      </c>
      <c r="C21" s="14" t="n">
        <f aca="false">-(A21-1)</f>
        <v>-14</v>
      </c>
      <c r="D21" s="14" t="str">
        <f aca="false">IF(A21&lt;=6,"Yes","No")</f>
        <v>No</v>
      </c>
      <c r="E21" s="14" t="str">
        <f aca="false">IF(A21=1,"1 h, 3 h, 6 h",IF(A21&lt;=3,"3 h, 6 h",IF(A21&lt;=6,"6 h","-")))</f>
        <v>-</v>
      </c>
      <c r="F21" s="14" t="s">
        <v>38</v>
      </c>
      <c r="G21" s="15" t="n">
        <f aca="false">$B$4+B21/24</f>
        <v>44619.125</v>
      </c>
      <c r="H21" s="15" t="n">
        <f aca="false">$B$4+C21/24</f>
        <v>44619.1666666667</v>
      </c>
    </row>
    <row r="22" customFormat="false" ht="15" hidden="false" customHeight="false" outlineLevel="0" collapsed="false">
      <c r="A22" s="14" t="n">
        <v>16</v>
      </c>
      <c r="B22" s="14" t="n">
        <f aca="false">-A22</f>
        <v>-16</v>
      </c>
      <c r="C22" s="14" t="n">
        <f aca="false">-(A22-1)</f>
        <v>-15</v>
      </c>
      <c r="D22" s="14" t="str">
        <f aca="false">IF(A22&lt;=6,"Yes","No")</f>
        <v>No</v>
      </c>
      <c r="E22" s="14" t="str">
        <f aca="false">IF(A22=1,"1 h, 3 h, 6 h",IF(A22&lt;=3,"3 h, 6 h",IF(A22&lt;=6,"6 h","-")))</f>
        <v>-</v>
      </c>
      <c r="F22" s="14" t="s">
        <v>38</v>
      </c>
      <c r="G22" s="15" t="n">
        <f aca="false">$B$4+B22/24</f>
        <v>44619.0833333333</v>
      </c>
      <c r="H22" s="15" t="n">
        <f aca="false">$B$4+C22/24</f>
        <v>44619.125</v>
      </c>
    </row>
    <row r="23" customFormat="false" ht="15" hidden="false" customHeight="false" outlineLevel="0" collapsed="false">
      <c r="A23" s="14" t="n">
        <v>17</v>
      </c>
      <c r="B23" s="14" t="n">
        <f aca="false">-A23</f>
        <v>-17</v>
      </c>
      <c r="C23" s="14" t="n">
        <f aca="false">-(A23-1)</f>
        <v>-16</v>
      </c>
      <c r="D23" s="14" t="str">
        <f aca="false">IF(A23&lt;=6,"Yes","No")</f>
        <v>No</v>
      </c>
      <c r="E23" s="14" t="str">
        <f aca="false">IF(A23=1,"1 h, 3 h, 6 h",IF(A23&lt;=3,"3 h, 6 h",IF(A23&lt;=6,"6 h","-")))</f>
        <v>-</v>
      </c>
      <c r="F23" s="14" t="s">
        <v>38</v>
      </c>
      <c r="G23" s="15" t="n">
        <f aca="false">$B$4+B23/24</f>
        <v>44619.0416666667</v>
      </c>
      <c r="H23" s="15" t="n">
        <f aca="false">$B$4+C23/24</f>
        <v>44619.0833333333</v>
      </c>
    </row>
    <row r="24" customFormat="false" ht="15" hidden="false" customHeight="false" outlineLevel="0" collapsed="false">
      <c r="A24" s="14" t="n">
        <v>18</v>
      </c>
      <c r="B24" s="14" t="n">
        <f aca="false">-A24</f>
        <v>-18</v>
      </c>
      <c r="C24" s="14" t="n">
        <f aca="false">-(A24-1)</f>
        <v>-17</v>
      </c>
      <c r="D24" s="14" t="str">
        <f aca="false">IF(A24&lt;=6,"Yes","No")</f>
        <v>No</v>
      </c>
      <c r="E24" s="14" t="str">
        <f aca="false">IF(A24=1,"1 h, 3 h, 6 h",IF(A24&lt;=3,"3 h, 6 h",IF(A24&lt;=6,"6 h","-")))</f>
        <v>-</v>
      </c>
      <c r="F24" s="14" t="s">
        <v>38</v>
      </c>
      <c r="G24" s="15" t="n">
        <f aca="false">$B$4+B24/24</f>
        <v>44619</v>
      </c>
      <c r="H24" s="15" t="n">
        <f aca="false">$B$4+C24/24</f>
        <v>44619.0416666667</v>
      </c>
    </row>
    <row r="25" customFormat="false" ht="15" hidden="false" customHeight="false" outlineLevel="0" collapsed="false">
      <c r="A25" s="14" t="n">
        <v>19</v>
      </c>
      <c r="B25" s="14" t="n">
        <f aca="false">-A25</f>
        <v>-19</v>
      </c>
      <c r="C25" s="14" t="n">
        <f aca="false">-(A25-1)</f>
        <v>-18</v>
      </c>
      <c r="D25" s="14" t="str">
        <f aca="false">IF(A25&lt;=6,"Yes","No")</f>
        <v>No</v>
      </c>
      <c r="E25" s="14" t="str">
        <f aca="false">IF(A25=1,"1 h, 3 h, 6 h",IF(A25&lt;=3,"3 h, 6 h",IF(A25&lt;=6,"6 h","-")))</f>
        <v>-</v>
      </c>
      <c r="F25" s="14" t="s">
        <v>38</v>
      </c>
      <c r="G25" s="15" t="n">
        <f aca="false">$B$4+B25/24</f>
        <v>44618.9583333333</v>
      </c>
      <c r="H25" s="15" t="n">
        <f aca="false">$B$4+C25/24</f>
        <v>44619</v>
      </c>
    </row>
    <row r="26" customFormat="false" ht="15" hidden="false" customHeight="false" outlineLevel="0" collapsed="false">
      <c r="A26" s="14" t="n">
        <v>20</v>
      </c>
      <c r="B26" s="14" t="n">
        <f aca="false">-A26</f>
        <v>-20</v>
      </c>
      <c r="C26" s="14" t="n">
        <f aca="false">-(A26-1)</f>
        <v>-19</v>
      </c>
      <c r="D26" s="14" t="str">
        <f aca="false">IF(A26&lt;=6,"Yes","No")</f>
        <v>No</v>
      </c>
      <c r="E26" s="14" t="str">
        <f aca="false">IF(A26=1,"1 h, 3 h, 6 h",IF(A26&lt;=3,"3 h, 6 h",IF(A26&lt;=6,"6 h","-")))</f>
        <v>-</v>
      </c>
      <c r="F26" s="14" t="s">
        <v>38</v>
      </c>
      <c r="G26" s="15" t="n">
        <f aca="false">$B$4+B26/24</f>
        <v>44618.9166666667</v>
      </c>
      <c r="H26" s="15" t="n">
        <f aca="false">$B$4+C26/24</f>
        <v>44618.9583333333</v>
      </c>
    </row>
    <row r="27" customFormat="false" ht="15" hidden="false" customHeight="false" outlineLevel="0" collapsed="false">
      <c r="A27" s="14" t="n">
        <v>21</v>
      </c>
      <c r="B27" s="14" t="n">
        <f aca="false">-A27</f>
        <v>-21</v>
      </c>
      <c r="C27" s="14" t="n">
        <f aca="false">-(A27-1)</f>
        <v>-20</v>
      </c>
      <c r="D27" s="14" t="str">
        <f aca="false">IF(A27&lt;=6,"Yes","No")</f>
        <v>No</v>
      </c>
      <c r="E27" s="14" t="str">
        <f aca="false">IF(A27=1,"1 h, 3 h, 6 h",IF(A27&lt;=3,"3 h, 6 h",IF(A27&lt;=6,"6 h","-")))</f>
        <v>-</v>
      </c>
      <c r="F27" s="14" t="s">
        <v>38</v>
      </c>
      <c r="G27" s="15" t="n">
        <f aca="false">$B$4+B27/24</f>
        <v>44618.875</v>
      </c>
      <c r="H27" s="15" t="n">
        <f aca="false">$B$4+C27/24</f>
        <v>44618.9166666667</v>
      </c>
    </row>
    <row r="28" customFormat="false" ht="15" hidden="false" customHeight="false" outlineLevel="0" collapsed="false">
      <c r="A28" s="14" t="n">
        <v>22</v>
      </c>
      <c r="B28" s="14" t="n">
        <f aca="false">-A28</f>
        <v>-22</v>
      </c>
      <c r="C28" s="14" t="n">
        <f aca="false">-(A28-1)</f>
        <v>-21</v>
      </c>
      <c r="D28" s="14" t="str">
        <f aca="false">IF(A28&lt;=6,"Yes","No")</f>
        <v>No</v>
      </c>
      <c r="E28" s="14" t="str">
        <f aca="false">IF(A28=1,"1 h, 3 h, 6 h",IF(A28&lt;=3,"3 h, 6 h",IF(A28&lt;=6,"6 h","-")))</f>
        <v>-</v>
      </c>
      <c r="F28" s="14" t="s">
        <v>38</v>
      </c>
      <c r="G28" s="15" t="n">
        <f aca="false">$B$4+B28/24</f>
        <v>44618.8333333333</v>
      </c>
      <c r="H28" s="15" t="n">
        <f aca="false">$B$4+C28/24</f>
        <v>44618.875</v>
      </c>
    </row>
    <row r="29" customFormat="false" ht="15" hidden="false" customHeight="false" outlineLevel="0" collapsed="false">
      <c r="A29" s="14" t="n">
        <v>23</v>
      </c>
      <c r="B29" s="14" t="n">
        <f aca="false">-A29</f>
        <v>-23</v>
      </c>
      <c r="C29" s="14" t="n">
        <f aca="false">-(A29-1)</f>
        <v>-22</v>
      </c>
      <c r="D29" s="14" t="str">
        <f aca="false">IF(A29&lt;=6,"Yes","No")</f>
        <v>No</v>
      </c>
      <c r="E29" s="14" t="str">
        <f aca="false">IF(A29=1,"1 h, 3 h, 6 h",IF(A29&lt;=3,"3 h, 6 h",IF(A29&lt;=6,"6 h","-")))</f>
        <v>-</v>
      </c>
      <c r="F29" s="14" t="s">
        <v>38</v>
      </c>
      <c r="G29" s="15" t="n">
        <f aca="false">$B$4+B29/24</f>
        <v>44618.7916666667</v>
      </c>
      <c r="H29" s="15" t="n">
        <f aca="false">$B$4+C29/24</f>
        <v>44618.8333333333</v>
      </c>
    </row>
    <row r="30" customFormat="false" ht="15" hidden="false" customHeight="false" outlineLevel="0" collapsed="false">
      <c r="A30" s="14" t="n">
        <v>24</v>
      </c>
      <c r="B30" s="14" t="n">
        <f aca="false">-A30</f>
        <v>-24</v>
      </c>
      <c r="C30" s="14" t="n">
        <f aca="false">-(A30-1)</f>
        <v>-23</v>
      </c>
      <c r="D30" s="14" t="str">
        <f aca="false">IF(A30&lt;=6,"Yes","No")</f>
        <v>No</v>
      </c>
      <c r="E30" s="14" t="str">
        <f aca="false">IF(A30=1,"1 h, 3 h, 6 h",IF(A30&lt;=3,"3 h, 6 h",IF(A30&lt;=6,"6 h","-")))</f>
        <v>-</v>
      </c>
      <c r="F30" s="14" t="s">
        <v>38</v>
      </c>
      <c r="G30" s="15" t="n">
        <f aca="false">$B$4+B30/24</f>
        <v>44618.75</v>
      </c>
      <c r="H30" s="15" t="n">
        <f aca="false">$B$4+C30/24</f>
        <v>44618.7916666667</v>
      </c>
    </row>
    <row r="31" customFormat="false" ht="15" hidden="false" customHeight="false" outlineLevel="0" collapsed="false">
      <c r="A31" s="14" t="n">
        <v>25</v>
      </c>
      <c r="B31" s="14" t="n">
        <f aca="false">-A31</f>
        <v>-25</v>
      </c>
      <c r="C31" s="14" t="n">
        <f aca="false">-(A31-1)</f>
        <v>-24</v>
      </c>
      <c r="D31" s="14" t="str">
        <f aca="false">IF(A31&lt;=6,"Yes","No")</f>
        <v>No</v>
      </c>
      <c r="E31" s="14" t="str">
        <f aca="false">IF(A31=1,"1 h, 3 h, 6 h",IF(A31&lt;=3,"3 h, 6 h",IF(A31&lt;=6,"6 h","-")))</f>
        <v>-</v>
      </c>
      <c r="F31" s="14" t="s">
        <v>38</v>
      </c>
      <c r="G31" s="15" t="n">
        <f aca="false">$B$4+B31/24</f>
        <v>44618.7083333333</v>
      </c>
      <c r="H31" s="15" t="n">
        <f aca="false">$B$4+C31/24</f>
        <v>44618.75</v>
      </c>
    </row>
    <row r="32" customFormat="false" ht="15" hidden="false" customHeight="false" outlineLevel="0" collapsed="false">
      <c r="A32" s="14" t="n">
        <v>26</v>
      </c>
      <c r="B32" s="14" t="n">
        <f aca="false">-A32</f>
        <v>-26</v>
      </c>
      <c r="C32" s="14" t="n">
        <f aca="false">-(A32-1)</f>
        <v>-25</v>
      </c>
      <c r="D32" s="14" t="str">
        <f aca="false">IF(A32&lt;=6,"Yes","No")</f>
        <v>No</v>
      </c>
      <c r="E32" s="14" t="str">
        <f aca="false">IF(A32=1,"1 h, 3 h, 6 h",IF(A32&lt;=3,"3 h, 6 h",IF(A32&lt;=6,"6 h","-")))</f>
        <v>-</v>
      </c>
      <c r="F32" s="14" t="s">
        <v>38</v>
      </c>
      <c r="G32" s="15" t="n">
        <f aca="false">$B$4+B32/24</f>
        <v>44618.6666666667</v>
      </c>
      <c r="H32" s="15" t="n">
        <f aca="false">$B$4+C32/24</f>
        <v>44618.7083333333</v>
      </c>
    </row>
    <row r="33" customFormat="false" ht="15" hidden="false" customHeight="false" outlineLevel="0" collapsed="false">
      <c r="A33" s="14" t="n">
        <v>27</v>
      </c>
      <c r="B33" s="14" t="n">
        <f aca="false">-A33</f>
        <v>-27</v>
      </c>
      <c r="C33" s="14" t="n">
        <f aca="false">-(A33-1)</f>
        <v>-26</v>
      </c>
      <c r="D33" s="14" t="str">
        <f aca="false">IF(A33&lt;=6,"Yes","No")</f>
        <v>No</v>
      </c>
      <c r="E33" s="14" t="str">
        <f aca="false">IF(A33=1,"1 h, 3 h, 6 h",IF(A33&lt;=3,"3 h, 6 h",IF(A33&lt;=6,"6 h","-")))</f>
        <v>-</v>
      </c>
      <c r="F33" s="14" t="s">
        <v>38</v>
      </c>
      <c r="G33" s="15" t="n">
        <f aca="false">$B$4+B33/24</f>
        <v>44618.625</v>
      </c>
      <c r="H33" s="15" t="n">
        <f aca="false">$B$4+C33/24</f>
        <v>44618.6666666667</v>
      </c>
    </row>
    <row r="34" customFormat="false" ht="15" hidden="false" customHeight="false" outlineLevel="0" collapsed="false">
      <c r="A34" s="14" t="n">
        <v>28</v>
      </c>
      <c r="B34" s="14" t="n">
        <f aca="false">-A34</f>
        <v>-28</v>
      </c>
      <c r="C34" s="14" t="n">
        <f aca="false">-(A34-1)</f>
        <v>-27</v>
      </c>
      <c r="D34" s="14" t="str">
        <f aca="false">IF(A34&lt;=6,"Yes","No")</f>
        <v>No</v>
      </c>
      <c r="E34" s="14" t="str">
        <f aca="false">IF(A34=1,"1 h, 3 h, 6 h",IF(A34&lt;=3,"3 h, 6 h",IF(A34&lt;=6,"6 h","-")))</f>
        <v>-</v>
      </c>
      <c r="F34" s="14" t="s">
        <v>38</v>
      </c>
      <c r="G34" s="15" t="n">
        <f aca="false">$B$4+B34/24</f>
        <v>44618.5833333333</v>
      </c>
      <c r="H34" s="15" t="n">
        <f aca="false">$B$4+C34/24</f>
        <v>44618.625</v>
      </c>
    </row>
    <row r="35" customFormat="false" ht="15" hidden="false" customHeight="false" outlineLevel="0" collapsed="false">
      <c r="A35" s="14" t="n">
        <v>29</v>
      </c>
      <c r="B35" s="14" t="n">
        <f aca="false">-A35</f>
        <v>-29</v>
      </c>
      <c r="C35" s="14" t="n">
        <f aca="false">-(A35-1)</f>
        <v>-28</v>
      </c>
      <c r="D35" s="14" t="str">
        <f aca="false">IF(A35&lt;=6,"Yes","No")</f>
        <v>No</v>
      </c>
      <c r="E35" s="14" t="str">
        <f aca="false">IF(A35=1,"1 h, 3 h, 6 h",IF(A35&lt;=3,"3 h, 6 h",IF(A35&lt;=6,"6 h","-")))</f>
        <v>-</v>
      </c>
      <c r="F35" s="14" t="s">
        <v>38</v>
      </c>
      <c r="G35" s="15" t="n">
        <f aca="false">$B$4+B35/24</f>
        <v>44618.5416666667</v>
      </c>
      <c r="H35" s="15" t="n">
        <f aca="false">$B$4+C35/24</f>
        <v>44618.5833333333</v>
      </c>
    </row>
    <row r="36" customFormat="false" ht="15" hidden="false" customHeight="false" outlineLevel="0" collapsed="false">
      <c r="A36" s="14" t="n">
        <v>30</v>
      </c>
      <c r="B36" s="14" t="n">
        <f aca="false">-A36</f>
        <v>-30</v>
      </c>
      <c r="C36" s="14" t="n">
        <f aca="false">-(A36-1)</f>
        <v>-29</v>
      </c>
      <c r="D36" s="14" t="str">
        <f aca="false">IF(A36&lt;=6,"Yes","No")</f>
        <v>No</v>
      </c>
      <c r="E36" s="14" t="str">
        <f aca="false">IF(A36=1,"1 h, 3 h, 6 h",IF(A36&lt;=3,"3 h, 6 h",IF(A36&lt;=6,"6 h","-")))</f>
        <v>-</v>
      </c>
      <c r="F36" s="14" t="s">
        <v>38</v>
      </c>
      <c r="G36" s="15" t="n">
        <f aca="false">$B$4+B36/24</f>
        <v>44618.5</v>
      </c>
      <c r="H36" s="15" t="n">
        <f aca="false">$B$4+C36/24</f>
        <v>44618.5416666667</v>
      </c>
    </row>
    <row r="37" customFormat="false" ht="15" hidden="false" customHeight="false" outlineLevel="0" collapsed="false">
      <c r="A37" s="14" t="n">
        <v>31</v>
      </c>
      <c r="B37" s="14" t="n">
        <f aca="false">-A37</f>
        <v>-31</v>
      </c>
      <c r="C37" s="14" t="n">
        <f aca="false">-(A37-1)</f>
        <v>-30</v>
      </c>
      <c r="D37" s="14" t="str">
        <f aca="false">IF(A37&lt;=6,"Yes","No")</f>
        <v>No</v>
      </c>
      <c r="E37" s="14" t="str">
        <f aca="false">IF(A37=1,"1 h, 3 h, 6 h",IF(A37&lt;=3,"3 h, 6 h",IF(A37&lt;=6,"6 h","-")))</f>
        <v>-</v>
      </c>
      <c r="F37" s="14" t="s">
        <v>38</v>
      </c>
      <c r="G37" s="15" t="n">
        <f aca="false">$B$4+B37/24</f>
        <v>44618.4583333333</v>
      </c>
      <c r="H37" s="15" t="n">
        <f aca="false">$B$4+C37/24</f>
        <v>44618.5</v>
      </c>
    </row>
    <row r="38" customFormat="false" ht="15" hidden="false" customHeight="false" outlineLevel="0" collapsed="false">
      <c r="A38" s="14" t="n">
        <v>32</v>
      </c>
      <c r="B38" s="14" t="n">
        <f aca="false">-A38</f>
        <v>-32</v>
      </c>
      <c r="C38" s="14" t="n">
        <f aca="false">-(A38-1)</f>
        <v>-31</v>
      </c>
      <c r="D38" s="14" t="str">
        <f aca="false">IF(A38&lt;=6,"Yes","No")</f>
        <v>No</v>
      </c>
      <c r="E38" s="14" t="str">
        <f aca="false">IF(A38=1,"1 h, 3 h, 6 h",IF(A38&lt;=3,"3 h, 6 h",IF(A38&lt;=6,"6 h","-")))</f>
        <v>-</v>
      </c>
      <c r="F38" s="14" t="s">
        <v>38</v>
      </c>
      <c r="G38" s="15" t="n">
        <f aca="false">$B$4+B38/24</f>
        <v>44618.4166666667</v>
      </c>
      <c r="H38" s="15" t="n">
        <f aca="false">$B$4+C38/24</f>
        <v>44618.4583333333</v>
      </c>
    </row>
    <row r="39" customFormat="false" ht="15" hidden="false" customHeight="false" outlineLevel="0" collapsed="false">
      <c r="A39" s="14" t="n">
        <v>33</v>
      </c>
      <c r="B39" s="14" t="n">
        <f aca="false">-A39</f>
        <v>-33</v>
      </c>
      <c r="C39" s="14" t="n">
        <f aca="false">-(A39-1)</f>
        <v>-32</v>
      </c>
      <c r="D39" s="14" t="str">
        <f aca="false">IF(A39&lt;=6,"Yes","No")</f>
        <v>No</v>
      </c>
      <c r="E39" s="14" t="str">
        <f aca="false">IF(A39=1,"1 h, 3 h, 6 h",IF(A39&lt;=3,"3 h, 6 h",IF(A39&lt;=6,"6 h","-")))</f>
        <v>-</v>
      </c>
      <c r="F39" s="14" t="s">
        <v>38</v>
      </c>
      <c r="G39" s="15" t="n">
        <f aca="false">$B$4+B39/24</f>
        <v>44618.375</v>
      </c>
      <c r="H39" s="15" t="n">
        <f aca="false">$B$4+C39/24</f>
        <v>44618.4166666667</v>
      </c>
    </row>
    <row r="40" customFormat="false" ht="15" hidden="false" customHeight="false" outlineLevel="0" collapsed="false">
      <c r="A40" s="14" t="n">
        <v>34</v>
      </c>
      <c r="B40" s="14" t="n">
        <f aca="false">-A40</f>
        <v>-34</v>
      </c>
      <c r="C40" s="14" t="n">
        <f aca="false">-(A40-1)</f>
        <v>-33</v>
      </c>
      <c r="D40" s="14" t="str">
        <f aca="false">IF(A40&lt;=6,"Yes","No")</f>
        <v>No</v>
      </c>
      <c r="E40" s="14" t="str">
        <f aca="false">IF(A40=1,"1 h, 3 h, 6 h",IF(A40&lt;=3,"3 h, 6 h",IF(A40&lt;=6,"6 h","-")))</f>
        <v>-</v>
      </c>
      <c r="F40" s="14" t="s">
        <v>38</v>
      </c>
      <c r="G40" s="15" t="n">
        <f aca="false">$B$4+B40/24</f>
        <v>44618.3333333333</v>
      </c>
      <c r="H40" s="15" t="n">
        <f aca="false">$B$4+C40/24</f>
        <v>44618.375</v>
      </c>
    </row>
    <row r="41" customFormat="false" ht="15" hidden="false" customHeight="false" outlineLevel="0" collapsed="false">
      <c r="A41" s="14" t="n">
        <v>35</v>
      </c>
      <c r="B41" s="14" t="n">
        <f aca="false">-A41</f>
        <v>-35</v>
      </c>
      <c r="C41" s="14" t="n">
        <f aca="false">-(A41-1)</f>
        <v>-34</v>
      </c>
      <c r="D41" s="14" t="str">
        <f aca="false">IF(A41&lt;=6,"Yes","No")</f>
        <v>No</v>
      </c>
      <c r="E41" s="14" t="str">
        <f aca="false">IF(A41=1,"1 h, 3 h, 6 h",IF(A41&lt;=3,"3 h, 6 h",IF(A41&lt;=6,"6 h","-")))</f>
        <v>-</v>
      </c>
      <c r="F41" s="14" t="s">
        <v>38</v>
      </c>
      <c r="G41" s="15" t="n">
        <f aca="false">$B$4+B41/24</f>
        <v>44618.2916666667</v>
      </c>
      <c r="H41" s="15" t="n">
        <f aca="false">$B$4+C41/24</f>
        <v>44618.3333333333</v>
      </c>
    </row>
    <row r="42" customFormat="false" ht="15" hidden="false" customHeight="false" outlineLevel="0" collapsed="false">
      <c r="A42" s="14" t="n">
        <v>36</v>
      </c>
      <c r="B42" s="14" t="n">
        <f aca="false">-A42</f>
        <v>-36</v>
      </c>
      <c r="C42" s="14" t="n">
        <f aca="false">-(A42-1)</f>
        <v>-35</v>
      </c>
      <c r="D42" s="14" t="str">
        <f aca="false">IF(A42&lt;=6,"Yes","No")</f>
        <v>No</v>
      </c>
      <c r="E42" s="14" t="str">
        <f aca="false">IF(A42=1,"1 h, 3 h, 6 h",IF(A42&lt;=3,"3 h, 6 h",IF(A42&lt;=6,"6 h","-")))</f>
        <v>-</v>
      </c>
      <c r="F42" s="14" t="s">
        <v>38</v>
      </c>
      <c r="G42" s="15" t="n">
        <f aca="false">$B$4+B42/24</f>
        <v>44618.25</v>
      </c>
      <c r="H42" s="15" t="n">
        <f aca="false">$B$4+C42/24</f>
        <v>44618.2916666667</v>
      </c>
    </row>
    <row r="43" customFormat="false" ht="15" hidden="false" customHeight="false" outlineLevel="0" collapsed="false">
      <c r="A43" s="14" t="n">
        <v>37</v>
      </c>
      <c r="B43" s="14" t="n">
        <f aca="false">-A43</f>
        <v>-37</v>
      </c>
      <c r="C43" s="14" t="n">
        <f aca="false">-(A43-1)</f>
        <v>-36</v>
      </c>
      <c r="D43" s="14" t="str">
        <f aca="false">IF(A43&lt;=6,"Yes","No")</f>
        <v>No</v>
      </c>
      <c r="E43" s="14" t="str">
        <f aca="false">IF(A43=1,"1 h, 3 h, 6 h",IF(A43&lt;=3,"3 h, 6 h",IF(A43&lt;=6,"6 h","-")))</f>
        <v>-</v>
      </c>
      <c r="F43" s="14" t="s">
        <v>38</v>
      </c>
      <c r="G43" s="15" t="n">
        <f aca="false">$B$4+B43/24</f>
        <v>44618.2083333333</v>
      </c>
      <c r="H43" s="15" t="n">
        <f aca="false">$B$4+C43/24</f>
        <v>44618.25</v>
      </c>
    </row>
    <row r="44" customFormat="false" ht="15" hidden="false" customHeight="false" outlineLevel="0" collapsed="false">
      <c r="A44" s="14" t="n">
        <v>38</v>
      </c>
      <c r="B44" s="14" t="n">
        <f aca="false">-A44</f>
        <v>-38</v>
      </c>
      <c r="C44" s="14" t="n">
        <f aca="false">-(A44-1)</f>
        <v>-37</v>
      </c>
      <c r="D44" s="14" t="str">
        <f aca="false">IF(A44&lt;=6,"Yes","No")</f>
        <v>No</v>
      </c>
      <c r="E44" s="14" t="str">
        <f aca="false">IF(A44=1,"1 h, 3 h, 6 h",IF(A44&lt;=3,"3 h, 6 h",IF(A44&lt;=6,"6 h","-")))</f>
        <v>-</v>
      </c>
      <c r="F44" s="14" t="s">
        <v>38</v>
      </c>
      <c r="G44" s="15" t="n">
        <f aca="false">$B$4+B44/24</f>
        <v>44618.1666666667</v>
      </c>
      <c r="H44" s="15" t="n">
        <f aca="false">$B$4+C44/24</f>
        <v>44618.2083333333</v>
      </c>
    </row>
    <row r="45" customFormat="false" ht="15" hidden="false" customHeight="false" outlineLevel="0" collapsed="false">
      <c r="A45" s="14" t="n">
        <v>39</v>
      </c>
      <c r="B45" s="14" t="n">
        <f aca="false">-A45</f>
        <v>-39</v>
      </c>
      <c r="C45" s="14" t="n">
        <f aca="false">-(A45-1)</f>
        <v>-38</v>
      </c>
      <c r="D45" s="14" t="str">
        <f aca="false">IF(A45&lt;=6,"Yes","No")</f>
        <v>No</v>
      </c>
      <c r="E45" s="14" t="str">
        <f aca="false">IF(A45=1,"1 h, 3 h, 6 h",IF(A45&lt;=3,"3 h, 6 h",IF(A45&lt;=6,"6 h","-")))</f>
        <v>-</v>
      </c>
      <c r="F45" s="14" t="s">
        <v>38</v>
      </c>
      <c r="G45" s="15" t="n">
        <f aca="false">$B$4+B45/24</f>
        <v>44618.125</v>
      </c>
      <c r="H45" s="15" t="n">
        <f aca="false">$B$4+C45/24</f>
        <v>44618.1666666667</v>
      </c>
    </row>
    <row r="46" customFormat="false" ht="15" hidden="false" customHeight="false" outlineLevel="0" collapsed="false">
      <c r="A46" s="14" t="n">
        <v>40</v>
      </c>
      <c r="B46" s="14" t="n">
        <f aca="false">-A46</f>
        <v>-40</v>
      </c>
      <c r="C46" s="14" t="n">
        <f aca="false">-(A46-1)</f>
        <v>-39</v>
      </c>
      <c r="D46" s="14" t="str">
        <f aca="false">IF(A46&lt;=6,"Yes","No")</f>
        <v>No</v>
      </c>
      <c r="E46" s="14" t="str">
        <f aca="false">IF(A46=1,"1 h, 3 h, 6 h",IF(A46&lt;=3,"3 h, 6 h",IF(A46&lt;=6,"6 h","-")))</f>
        <v>-</v>
      </c>
      <c r="F46" s="14" t="s">
        <v>38</v>
      </c>
      <c r="G46" s="15" t="n">
        <f aca="false">$B$4+B46/24</f>
        <v>44618.0833333333</v>
      </c>
      <c r="H46" s="15" t="n">
        <f aca="false">$B$4+C46/24</f>
        <v>44618.125</v>
      </c>
    </row>
    <row r="47" customFormat="false" ht="15" hidden="false" customHeight="false" outlineLevel="0" collapsed="false">
      <c r="A47" s="14" t="n">
        <v>41</v>
      </c>
      <c r="B47" s="14" t="n">
        <f aca="false">-A47</f>
        <v>-41</v>
      </c>
      <c r="C47" s="14" t="n">
        <f aca="false">-(A47-1)</f>
        <v>-40</v>
      </c>
      <c r="D47" s="14" t="str">
        <f aca="false">IF(A47&lt;=6,"Yes","No")</f>
        <v>No</v>
      </c>
      <c r="E47" s="14" t="str">
        <f aca="false">IF(A47=1,"1 h, 3 h, 6 h",IF(A47&lt;=3,"3 h, 6 h",IF(A47&lt;=6,"6 h","-")))</f>
        <v>-</v>
      </c>
      <c r="F47" s="14" t="s">
        <v>38</v>
      </c>
      <c r="G47" s="15" t="n">
        <f aca="false">$B$4+B47/24</f>
        <v>44618.0416666667</v>
      </c>
      <c r="H47" s="15" t="n">
        <f aca="false">$B$4+C47/24</f>
        <v>44618.0833333333</v>
      </c>
    </row>
    <row r="48" customFormat="false" ht="15" hidden="false" customHeight="false" outlineLevel="0" collapsed="false">
      <c r="A48" s="14" t="n">
        <v>42</v>
      </c>
      <c r="B48" s="14" t="n">
        <f aca="false">-A48</f>
        <v>-42</v>
      </c>
      <c r="C48" s="14" t="n">
        <f aca="false">-(A48-1)</f>
        <v>-41</v>
      </c>
      <c r="D48" s="14" t="str">
        <f aca="false">IF(A48&lt;=6,"Yes","No")</f>
        <v>No</v>
      </c>
      <c r="E48" s="14" t="str">
        <f aca="false">IF(A48=1,"1 h, 3 h, 6 h",IF(A48&lt;=3,"3 h, 6 h",IF(A48&lt;=6,"6 h","-")))</f>
        <v>-</v>
      </c>
      <c r="F48" s="14" t="s">
        <v>38</v>
      </c>
      <c r="G48" s="15" t="n">
        <f aca="false">$B$4+B48/24</f>
        <v>44618</v>
      </c>
      <c r="H48" s="15" t="n">
        <f aca="false">$B$4+C48/24</f>
        <v>44618.0416666667</v>
      </c>
    </row>
    <row r="49" customFormat="false" ht="15" hidden="false" customHeight="false" outlineLevel="0" collapsed="false">
      <c r="A49" s="14" t="n">
        <v>43</v>
      </c>
      <c r="B49" s="14" t="n">
        <f aca="false">-A49</f>
        <v>-43</v>
      </c>
      <c r="C49" s="14" t="n">
        <f aca="false">-(A49-1)</f>
        <v>-42</v>
      </c>
      <c r="D49" s="14" t="str">
        <f aca="false">IF(A49&lt;=6,"Yes","No")</f>
        <v>No</v>
      </c>
      <c r="E49" s="14" t="str">
        <f aca="false">IF(A49=1,"1 h, 3 h, 6 h",IF(A49&lt;=3,"3 h, 6 h",IF(A49&lt;=6,"6 h","-")))</f>
        <v>-</v>
      </c>
      <c r="F49" s="14" t="s">
        <v>38</v>
      </c>
      <c r="G49" s="15" t="n">
        <f aca="false">$B$4+B49/24</f>
        <v>44617.9583333333</v>
      </c>
      <c r="H49" s="15" t="n">
        <f aca="false">$B$4+C49/24</f>
        <v>44618</v>
      </c>
    </row>
    <row r="50" customFormat="false" ht="15" hidden="false" customHeight="false" outlineLevel="0" collapsed="false">
      <c r="A50" s="14" t="n">
        <v>44</v>
      </c>
      <c r="B50" s="14" t="n">
        <f aca="false">-A50</f>
        <v>-44</v>
      </c>
      <c r="C50" s="14" t="n">
        <f aca="false">-(A50-1)</f>
        <v>-43</v>
      </c>
      <c r="D50" s="14" t="str">
        <f aca="false">IF(A50&lt;=6,"Yes","No")</f>
        <v>No</v>
      </c>
      <c r="E50" s="14" t="str">
        <f aca="false">IF(A50=1,"1 h, 3 h, 6 h",IF(A50&lt;=3,"3 h, 6 h",IF(A50&lt;=6,"6 h","-")))</f>
        <v>-</v>
      </c>
      <c r="F50" s="14" t="s">
        <v>38</v>
      </c>
      <c r="G50" s="15" t="n">
        <f aca="false">$B$4+B50/24</f>
        <v>44617.9166666667</v>
      </c>
      <c r="H50" s="15" t="n">
        <f aca="false">$B$4+C50/24</f>
        <v>44617.9583333333</v>
      </c>
    </row>
    <row r="51" customFormat="false" ht="15" hidden="false" customHeight="false" outlineLevel="0" collapsed="false">
      <c r="A51" s="14" t="n">
        <v>45</v>
      </c>
      <c r="B51" s="14" t="n">
        <f aca="false">-A51</f>
        <v>-45</v>
      </c>
      <c r="C51" s="14" t="n">
        <f aca="false">-(A51-1)</f>
        <v>-44</v>
      </c>
      <c r="D51" s="14" t="str">
        <f aca="false">IF(A51&lt;=6,"Yes","No")</f>
        <v>No</v>
      </c>
      <c r="E51" s="14" t="str">
        <f aca="false">IF(A51=1,"1 h, 3 h, 6 h",IF(A51&lt;=3,"3 h, 6 h",IF(A51&lt;=6,"6 h","-")))</f>
        <v>-</v>
      </c>
      <c r="F51" s="14" t="s">
        <v>38</v>
      </c>
      <c r="G51" s="15" t="n">
        <f aca="false">$B$4+B51/24</f>
        <v>44617.875</v>
      </c>
      <c r="H51" s="15" t="n">
        <f aca="false">$B$4+C51/24</f>
        <v>44617.9166666667</v>
      </c>
    </row>
    <row r="52" customFormat="false" ht="15" hidden="false" customHeight="false" outlineLevel="0" collapsed="false">
      <c r="A52" s="14" t="n">
        <v>46</v>
      </c>
      <c r="B52" s="14" t="n">
        <f aca="false">-A52</f>
        <v>-46</v>
      </c>
      <c r="C52" s="14" t="n">
        <f aca="false">-(A52-1)</f>
        <v>-45</v>
      </c>
      <c r="D52" s="14" t="str">
        <f aca="false">IF(A52&lt;=6,"Yes","No")</f>
        <v>No</v>
      </c>
      <c r="E52" s="14" t="str">
        <f aca="false">IF(A52=1,"1 h, 3 h, 6 h",IF(A52&lt;=3,"3 h, 6 h",IF(A52&lt;=6,"6 h","-")))</f>
        <v>-</v>
      </c>
      <c r="F52" s="14" t="s">
        <v>38</v>
      </c>
      <c r="G52" s="15" t="n">
        <f aca="false">$B$4+B52/24</f>
        <v>44617.8333333333</v>
      </c>
      <c r="H52" s="15" t="n">
        <f aca="false">$B$4+C52/24</f>
        <v>44617.875</v>
      </c>
    </row>
    <row r="53" customFormat="false" ht="15" hidden="false" customHeight="false" outlineLevel="0" collapsed="false">
      <c r="A53" s="14" t="n">
        <v>47</v>
      </c>
      <c r="B53" s="14" t="n">
        <f aca="false">-A53</f>
        <v>-47</v>
      </c>
      <c r="C53" s="14" t="n">
        <f aca="false">-(A53-1)</f>
        <v>-46</v>
      </c>
      <c r="D53" s="14" t="str">
        <f aca="false">IF(A53&lt;=6,"Yes","No")</f>
        <v>No</v>
      </c>
      <c r="E53" s="14" t="str">
        <f aca="false">IF(A53=1,"1 h, 3 h, 6 h",IF(A53&lt;=3,"3 h, 6 h",IF(A53&lt;=6,"6 h","-")))</f>
        <v>-</v>
      </c>
      <c r="F53" s="14" t="s">
        <v>38</v>
      </c>
      <c r="G53" s="15" t="n">
        <f aca="false">$B$4+B53/24</f>
        <v>44617.7916666667</v>
      </c>
      <c r="H53" s="15" t="n">
        <f aca="false">$B$4+C53/24</f>
        <v>44617.8333333333</v>
      </c>
    </row>
    <row r="54" customFormat="false" ht="15" hidden="false" customHeight="false" outlineLevel="0" collapsed="false">
      <c r="A54" s="14" t="n">
        <v>48</v>
      </c>
      <c r="B54" s="14" t="n">
        <f aca="false">-A54</f>
        <v>-48</v>
      </c>
      <c r="C54" s="14" t="n">
        <f aca="false">-(A54-1)</f>
        <v>-47</v>
      </c>
      <c r="D54" s="14" t="str">
        <f aca="false">IF(A54&lt;=6,"Yes","No")</f>
        <v>No</v>
      </c>
      <c r="E54" s="14" t="str">
        <f aca="false">IF(A54=1,"1 h, 3 h, 6 h",IF(A54&lt;=3,"3 h, 6 h",IF(A54&lt;=6,"6 h","-")))</f>
        <v>-</v>
      </c>
      <c r="F54" s="14" t="s">
        <v>38</v>
      </c>
      <c r="G54" s="15" t="n">
        <f aca="false">$B$4+B54/24</f>
        <v>44617.75</v>
      </c>
      <c r="H54" s="15" t="n">
        <f aca="false">$B$4+C54/24</f>
        <v>44617.7916666667</v>
      </c>
    </row>
    <row r="55" customFormat="false" ht="15" hidden="false" customHeight="false" outlineLevel="0" collapsed="false">
      <c r="A55" s="14" t="n">
        <v>49</v>
      </c>
      <c r="B55" s="14" t="n">
        <f aca="false">-A55</f>
        <v>-49</v>
      </c>
      <c r="C55" s="14" t="n">
        <f aca="false">-(A55-1)</f>
        <v>-48</v>
      </c>
      <c r="D55" s="14" t="str">
        <f aca="false">IF(A55&lt;=6,"Yes","No")</f>
        <v>No</v>
      </c>
      <c r="E55" s="14" t="str">
        <f aca="false">IF(A55=1,"1 h, 3 h, 6 h",IF(A55&lt;=3,"3 h, 6 h",IF(A55&lt;=6,"6 h","-")))</f>
        <v>-</v>
      </c>
      <c r="F55" s="14" t="s">
        <v>38</v>
      </c>
      <c r="G55" s="15" t="n">
        <f aca="false">$B$4+B55/24</f>
        <v>44617.7083333333</v>
      </c>
      <c r="H55" s="15" t="n">
        <f aca="false">$B$4+C55/24</f>
        <v>44617.75</v>
      </c>
    </row>
    <row r="56" customFormat="false" ht="15" hidden="false" customHeight="false" outlineLevel="0" collapsed="false">
      <c r="A56" s="14" t="n">
        <v>50</v>
      </c>
      <c r="B56" s="14" t="n">
        <f aca="false">-A56</f>
        <v>-50</v>
      </c>
      <c r="C56" s="14" t="n">
        <f aca="false">-(A56-1)</f>
        <v>-49</v>
      </c>
      <c r="D56" s="14" t="str">
        <f aca="false">IF(A56&lt;=6,"Yes","No")</f>
        <v>No</v>
      </c>
      <c r="E56" s="14" t="str">
        <f aca="false">IF(A56=1,"1 h, 3 h, 6 h",IF(A56&lt;=3,"3 h, 6 h",IF(A56&lt;=6,"6 h","-")))</f>
        <v>-</v>
      </c>
      <c r="F56" s="14" t="s">
        <v>38</v>
      </c>
      <c r="G56" s="15" t="n">
        <f aca="false">$B$4+B56/24</f>
        <v>44617.6666666667</v>
      </c>
      <c r="H56" s="15" t="n">
        <f aca="false">$B$4+C56/24</f>
        <v>44617.7083333333</v>
      </c>
    </row>
    <row r="57" customFormat="false" ht="15" hidden="false" customHeight="false" outlineLevel="0" collapsed="false">
      <c r="A57" s="14" t="n">
        <v>51</v>
      </c>
      <c r="B57" s="14" t="n">
        <f aca="false">-A57</f>
        <v>-51</v>
      </c>
      <c r="C57" s="14" t="n">
        <f aca="false">-(A57-1)</f>
        <v>-50</v>
      </c>
      <c r="D57" s="14" t="str">
        <f aca="false">IF(A57&lt;=6,"Yes","No")</f>
        <v>No</v>
      </c>
      <c r="E57" s="14" t="str">
        <f aca="false">IF(A57=1,"1 h, 3 h, 6 h",IF(A57&lt;=3,"3 h, 6 h",IF(A57&lt;=6,"6 h","-")))</f>
        <v>-</v>
      </c>
      <c r="F57" s="14" t="s">
        <v>38</v>
      </c>
      <c r="G57" s="15" t="n">
        <f aca="false">$B$4+B57/24</f>
        <v>44617.625</v>
      </c>
      <c r="H57" s="15" t="n">
        <f aca="false">$B$4+C57/24</f>
        <v>44617.6666666667</v>
      </c>
    </row>
    <row r="58" customFormat="false" ht="15" hidden="false" customHeight="false" outlineLevel="0" collapsed="false">
      <c r="A58" s="14" t="n">
        <v>52</v>
      </c>
      <c r="B58" s="14" t="n">
        <f aca="false">-A58</f>
        <v>-52</v>
      </c>
      <c r="C58" s="14" t="n">
        <f aca="false">-(A58-1)</f>
        <v>-51</v>
      </c>
      <c r="D58" s="14" t="str">
        <f aca="false">IF(A58&lt;=6,"Yes","No")</f>
        <v>No</v>
      </c>
      <c r="E58" s="14" t="str">
        <f aca="false">IF(A58=1,"1 h, 3 h, 6 h",IF(A58&lt;=3,"3 h, 6 h",IF(A58&lt;=6,"6 h","-")))</f>
        <v>-</v>
      </c>
      <c r="F58" s="14" t="s">
        <v>38</v>
      </c>
      <c r="G58" s="15" t="n">
        <f aca="false">$B$4+B58/24</f>
        <v>44617.5833333333</v>
      </c>
      <c r="H58" s="15" t="n">
        <f aca="false">$B$4+C58/24</f>
        <v>44617.625</v>
      </c>
    </row>
    <row r="59" customFormat="false" ht="15" hidden="false" customHeight="false" outlineLevel="0" collapsed="false">
      <c r="A59" s="14" t="n">
        <v>53</v>
      </c>
      <c r="B59" s="14" t="n">
        <f aca="false">-A59</f>
        <v>-53</v>
      </c>
      <c r="C59" s="14" t="n">
        <f aca="false">-(A59-1)</f>
        <v>-52</v>
      </c>
      <c r="D59" s="14" t="str">
        <f aca="false">IF(A59&lt;=6,"Yes","No")</f>
        <v>No</v>
      </c>
      <c r="E59" s="14" t="str">
        <f aca="false">IF(A59=1,"1 h, 3 h, 6 h",IF(A59&lt;=3,"3 h, 6 h",IF(A59&lt;=6,"6 h","-")))</f>
        <v>-</v>
      </c>
      <c r="F59" s="14" t="s">
        <v>38</v>
      </c>
      <c r="G59" s="15" t="n">
        <f aca="false">$B$4+B59/24</f>
        <v>44617.5416666667</v>
      </c>
      <c r="H59" s="15" t="n">
        <f aca="false">$B$4+C59/24</f>
        <v>44617.5833333333</v>
      </c>
    </row>
    <row r="60" customFormat="false" ht="15" hidden="false" customHeight="false" outlineLevel="0" collapsed="false">
      <c r="A60" s="14" t="n">
        <v>54</v>
      </c>
      <c r="B60" s="14" t="n">
        <f aca="false">-A60</f>
        <v>-54</v>
      </c>
      <c r="C60" s="14" t="n">
        <f aca="false">-(A60-1)</f>
        <v>-53</v>
      </c>
      <c r="D60" s="14" t="str">
        <f aca="false">IF(A60&lt;=6,"Yes","No")</f>
        <v>No</v>
      </c>
      <c r="E60" s="14" t="str">
        <f aca="false">IF(A60=1,"1 h, 3 h, 6 h",IF(A60&lt;=3,"3 h, 6 h",IF(A60&lt;=6,"6 h","-")))</f>
        <v>-</v>
      </c>
      <c r="F60" s="14" t="s">
        <v>38</v>
      </c>
      <c r="G60" s="15" t="n">
        <f aca="false">$B$4+B60/24</f>
        <v>44617.5</v>
      </c>
      <c r="H60" s="15" t="n">
        <f aca="false">$B$4+C60/24</f>
        <v>44617.5416666667</v>
      </c>
    </row>
    <row r="61" customFormat="false" ht="15" hidden="false" customHeight="false" outlineLevel="0" collapsed="false">
      <c r="A61" s="14" t="n">
        <v>55</v>
      </c>
      <c r="B61" s="14" t="n">
        <f aca="false">-A61</f>
        <v>-55</v>
      </c>
      <c r="C61" s="14" t="n">
        <f aca="false">-(A61-1)</f>
        <v>-54</v>
      </c>
      <c r="D61" s="14" t="str">
        <f aca="false">IF(A61&lt;=6,"Yes","No")</f>
        <v>No</v>
      </c>
      <c r="E61" s="14" t="str">
        <f aca="false">IF(A61=1,"1 h, 3 h, 6 h",IF(A61&lt;=3,"3 h, 6 h",IF(A61&lt;=6,"6 h","-")))</f>
        <v>-</v>
      </c>
      <c r="F61" s="14" t="s">
        <v>38</v>
      </c>
      <c r="G61" s="15" t="n">
        <f aca="false">$B$4+B61/24</f>
        <v>44617.4583333333</v>
      </c>
      <c r="H61" s="15" t="n">
        <f aca="false">$B$4+C61/24</f>
        <v>44617.5</v>
      </c>
    </row>
    <row r="62" customFormat="false" ht="15" hidden="false" customHeight="false" outlineLevel="0" collapsed="false">
      <c r="A62" s="14" t="n">
        <v>56</v>
      </c>
      <c r="B62" s="14" t="n">
        <f aca="false">-A62</f>
        <v>-56</v>
      </c>
      <c r="C62" s="14" t="n">
        <f aca="false">-(A62-1)</f>
        <v>-55</v>
      </c>
      <c r="D62" s="14" t="str">
        <f aca="false">IF(A62&lt;=6,"Yes","No")</f>
        <v>No</v>
      </c>
      <c r="E62" s="14" t="str">
        <f aca="false">IF(A62=1,"1 h, 3 h, 6 h",IF(A62&lt;=3,"3 h, 6 h",IF(A62&lt;=6,"6 h","-")))</f>
        <v>-</v>
      </c>
      <c r="F62" s="14" t="s">
        <v>38</v>
      </c>
      <c r="G62" s="15" t="n">
        <f aca="false">$B$4+B62/24</f>
        <v>44617.4166666667</v>
      </c>
      <c r="H62" s="15" t="n">
        <f aca="false">$B$4+C62/24</f>
        <v>44617.4583333333</v>
      </c>
    </row>
    <row r="63" customFormat="false" ht="15" hidden="false" customHeight="false" outlineLevel="0" collapsed="false">
      <c r="A63" s="14" t="n">
        <v>57</v>
      </c>
      <c r="B63" s="14" t="n">
        <f aca="false">-A63</f>
        <v>-57</v>
      </c>
      <c r="C63" s="14" t="n">
        <f aca="false">-(A63-1)</f>
        <v>-56</v>
      </c>
      <c r="D63" s="14" t="str">
        <f aca="false">IF(A63&lt;=6,"Yes","No")</f>
        <v>No</v>
      </c>
      <c r="E63" s="14" t="str">
        <f aca="false">IF(A63=1,"1 h, 3 h, 6 h",IF(A63&lt;=3,"3 h, 6 h",IF(A63&lt;=6,"6 h","-")))</f>
        <v>-</v>
      </c>
      <c r="F63" s="14" t="s">
        <v>38</v>
      </c>
      <c r="G63" s="15" t="n">
        <f aca="false">$B$4+B63/24</f>
        <v>44617.375</v>
      </c>
      <c r="H63" s="15" t="n">
        <f aca="false">$B$4+C63/24</f>
        <v>44617.4166666667</v>
      </c>
    </row>
    <row r="64" customFormat="false" ht="15" hidden="false" customHeight="false" outlineLevel="0" collapsed="false">
      <c r="A64" s="14" t="n">
        <v>58</v>
      </c>
      <c r="B64" s="14" t="n">
        <f aca="false">-A64</f>
        <v>-58</v>
      </c>
      <c r="C64" s="14" t="n">
        <f aca="false">-(A64-1)</f>
        <v>-57</v>
      </c>
      <c r="D64" s="14" t="str">
        <f aca="false">IF(A64&lt;=6,"Yes","No")</f>
        <v>No</v>
      </c>
      <c r="E64" s="14" t="str">
        <f aca="false">IF(A64=1,"1 h, 3 h, 6 h",IF(A64&lt;=3,"3 h, 6 h",IF(A64&lt;=6,"6 h","-")))</f>
        <v>-</v>
      </c>
      <c r="F64" s="14" t="s">
        <v>38</v>
      </c>
      <c r="G64" s="15" t="n">
        <f aca="false">$B$4+B64/24</f>
        <v>44617.3333333333</v>
      </c>
      <c r="H64" s="15" t="n">
        <f aca="false">$B$4+C64/24</f>
        <v>44617.375</v>
      </c>
    </row>
    <row r="65" customFormat="false" ht="15" hidden="false" customHeight="false" outlineLevel="0" collapsed="false">
      <c r="A65" s="14" t="n">
        <v>59</v>
      </c>
      <c r="B65" s="14" t="n">
        <f aca="false">-A65</f>
        <v>-59</v>
      </c>
      <c r="C65" s="14" t="n">
        <f aca="false">-(A65-1)</f>
        <v>-58</v>
      </c>
      <c r="D65" s="14" t="str">
        <f aca="false">IF(A65&lt;=6,"Yes","No")</f>
        <v>No</v>
      </c>
      <c r="E65" s="14" t="str">
        <f aca="false">IF(A65=1,"1 h, 3 h, 6 h",IF(A65&lt;=3,"3 h, 6 h",IF(A65&lt;=6,"6 h","-")))</f>
        <v>-</v>
      </c>
      <c r="F65" s="14" t="s">
        <v>38</v>
      </c>
      <c r="G65" s="15" t="n">
        <f aca="false">$B$4+B65/24</f>
        <v>44617.2916666667</v>
      </c>
      <c r="H65" s="15" t="n">
        <f aca="false">$B$4+C65/24</f>
        <v>44617.3333333333</v>
      </c>
    </row>
    <row r="66" customFormat="false" ht="15" hidden="false" customHeight="false" outlineLevel="0" collapsed="false">
      <c r="A66" s="14" t="n">
        <v>60</v>
      </c>
      <c r="B66" s="14" t="n">
        <f aca="false">-A66</f>
        <v>-60</v>
      </c>
      <c r="C66" s="14" t="n">
        <f aca="false">-(A66-1)</f>
        <v>-59</v>
      </c>
      <c r="D66" s="14" t="str">
        <f aca="false">IF(A66&lt;=6,"Yes","No")</f>
        <v>No</v>
      </c>
      <c r="E66" s="14" t="str">
        <f aca="false">IF(A66=1,"1 h, 3 h, 6 h",IF(A66&lt;=3,"3 h, 6 h",IF(A66&lt;=6,"6 h","-")))</f>
        <v>-</v>
      </c>
      <c r="F66" s="14" t="s">
        <v>38</v>
      </c>
      <c r="G66" s="15" t="n">
        <f aca="false">$B$4+B66/24</f>
        <v>44617.25</v>
      </c>
      <c r="H66" s="15" t="n">
        <f aca="false">$B$4+C66/24</f>
        <v>44617.2916666667</v>
      </c>
    </row>
    <row r="67" customFormat="false" ht="15" hidden="false" customHeight="false" outlineLevel="0" collapsed="false">
      <c r="A67" s="14" t="n">
        <v>61</v>
      </c>
      <c r="B67" s="14" t="n">
        <f aca="false">-A67</f>
        <v>-61</v>
      </c>
      <c r="C67" s="14" t="n">
        <f aca="false">-(A67-1)</f>
        <v>-60</v>
      </c>
      <c r="D67" s="14" t="str">
        <f aca="false">IF(A67&lt;=6,"Yes","No")</f>
        <v>No</v>
      </c>
      <c r="E67" s="14" t="str">
        <f aca="false">IF(A67=1,"1 h, 3 h, 6 h",IF(A67&lt;=3,"3 h, 6 h",IF(A67&lt;=6,"6 h","-")))</f>
        <v>-</v>
      </c>
      <c r="F67" s="14" t="s">
        <v>38</v>
      </c>
      <c r="G67" s="15" t="n">
        <f aca="false">$B$4+B67/24</f>
        <v>44617.2083333333</v>
      </c>
      <c r="H67" s="15" t="n">
        <f aca="false">$B$4+C67/24</f>
        <v>44617.25</v>
      </c>
    </row>
    <row r="68" customFormat="false" ht="15" hidden="false" customHeight="false" outlineLevel="0" collapsed="false">
      <c r="A68" s="14" t="n">
        <v>62</v>
      </c>
      <c r="B68" s="14" t="n">
        <f aca="false">-A68</f>
        <v>-62</v>
      </c>
      <c r="C68" s="14" t="n">
        <f aca="false">-(A68-1)</f>
        <v>-61</v>
      </c>
      <c r="D68" s="14" t="str">
        <f aca="false">IF(A68&lt;=6,"Yes","No")</f>
        <v>No</v>
      </c>
      <c r="E68" s="14" t="str">
        <f aca="false">IF(A68=1,"1 h, 3 h, 6 h",IF(A68&lt;=3,"3 h, 6 h",IF(A68&lt;=6,"6 h","-")))</f>
        <v>-</v>
      </c>
      <c r="F68" s="14" t="s">
        <v>38</v>
      </c>
      <c r="G68" s="15" t="n">
        <f aca="false">$B$4+B68/24</f>
        <v>44617.1666666667</v>
      </c>
      <c r="H68" s="15" t="n">
        <f aca="false">$B$4+C68/24</f>
        <v>44617.2083333333</v>
      </c>
    </row>
    <row r="69" customFormat="false" ht="15" hidden="false" customHeight="false" outlineLevel="0" collapsed="false">
      <c r="A69" s="14" t="n">
        <v>63</v>
      </c>
      <c r="B69" s="14" t="n">
        <f aca="false">-A69</f>
        <v>-63</v>
      </c>
      <c r="C69" s="14" t="n">
        <f aca="false">-(A69-1)</f>
        <v>-62</v>
      </c>
      <c r="D69" s="14" t="str">
        <f aca="false">IF(A69&lt;=6,"Yes","No")</f>
        <v>No</v>
      </c>
      <c r="E69" s="14" t="str">
        <f aca="false">IF(A69=1,"1 h, 3 h, 6 h",IF(A69&lt;=3,"3 h, 6 h",IF(A69&lt;=6,"6 h","-")))</f>
        <v>-</v>
      </c>
      <c r="F69" s="14" t="s">
        <v>38</v>
      </c>
      <c r="G69" s="15" t="n">
        <f aca="false">$B$4+B69/24</f>
        <v>44617.125</v>
      </c>
      <c r="H69" s="15" t="n">
        <f aca="false">$B$4+C69/24</f>
        <v>44617.1666666667</v>
      </c>
    </row>
    <row r="70" customFormat="false" ht="15" hidden="false" customHeight="false" outlineLevel="0" collapsed="false">
      <c r="A70" s="14" t="n">
        <v>64</v>
      </c>
      <c r="B70" s="14" t="n">
        <f aca="false">-A70</f>
        <v>-64</v>
      </c>
      <c r="C70" s="14" t="n">
        <f aca="false">-(A70-1)</f>
        <v>-63</v>
      </c>
      <c r="D70" s="14" t="str">
        <f aca="false">IF(A70&lt;=6,"Yes","No")</f>
        <v>No</v>
      </c>
      <c r="E70" s="14" t="str">
        <f aca="false">IF(A70=1,"1 h, 3 h, 6 h",IF(A70&lt;=3,"3 h, 6 h",IF(A70&lt;=6,"6 h","-")))</f>
        <v>-</v>
      </c>
      <c r="F70" s="14" t="s">
        <v>38</v>
      </c>
      <c r="G70" s="15" t="n">
        <f aca="false">$B$4+B70/24</f>
        <v>44617.0833333333</v>
      </c>
      <c r="H70" s="15" t="n">
        <f aca="false">$B$4+C70/24</f>
        <v>44617.125</v>
      </c>
    </row>
    <row r="71" customFormat="false" ht="15" hidden="false" customHeight="false" outlineLevel="0" collapsed="false">
      <c r="A71" s="14" t="n">
        <v>65</v>
      </c>
      <c r="B71" s="14" t="n">
        <f aca="false">-A71</f>
        <v>-65</v>
      </c>
      <c r="C71" s="14" t="n">
        <f aca="false">-(A71-1)</f>
        <v>-64</v>
      </c>
      <c r="D71" s="14" t="str">
        <f aca="false">IF(A71&lt;=6,"Yes","No")</f>
        <v>No</v>
      </c>
      <c r="E71" s="14" t="str">
        <f aca="false">IF(A71=1,"1 h, 3 h, 6 h",IF(A71&lt;=3,"3 h, 6 h",IF(A71&lt;=6,"6 h","-")))</f>
        <v>-</v>
      </c>
      <c r="F71" s="14" t="s">
        <v>38</v>
      </c>
      <c r="G71" s="15" t="n">
        <f aca="false">$B$4+B71/24</f>
        <v>44617.0416666667</v>
      </c>
      <c r="H71" s="15" t="n">
        <f aca="false">$B$4+C71/24</f>
        <v>44617.0833333333</v>
      </c>
    </row>
    <row r="72" customFormat="false" ht="15" hidden="false" customHeight="false" outlineLevel="0" collapsed="false">
      <c r="A72" s="14" t="n">
        <v>66</v>
      </c>
      <c r="B72" s="14" t="n">
        <f aca="false">-A72</f>
        <v>-66</v>
      </c>
      <c r="C72" s="14" t="n">
        <f aca="false">-(A72-1)</f>
        <v>-65</v>
      </c>
      <c r="D72" s="14" t="str">
        <f aca="false">IF(A72&lt;=6,"Yes","No")</f>
        <v>No</v>
      </c>
      <c r="E72" s="14" t="str">
        <f aca="false">IF(A72=1,"1 h, 3 h, 6 h",IF(A72&lt;=3,"3 h, 6 h",IF(A72&lt;=6,"6 h","-")))</f>
        <v>-</v>
      </c>
      <c r="F72" s="14" t="s">
        <v>38</v>
      </c>
      <c r="G72" s="15" t="n">
        <f aca="false">$B$4+B72/24</f>
        <v>44617</v>
      </c>
      <c r="H72" s="15" t="n">
        <f aca="false">$B$4+C72/24</f>
        <v>44617.0416666667</v>
      </c>
    </row>
    <row r="73" customFormat="false" ht="15" hidden="false" customHeight="false" outlineLevel="0" collapsed="false">
      <c r="A73" s="14" t="n">
        <v>67</v>
      </c>
      <c r="B73" s="14" t="n">
        <f aca="false">-A73</f>
        <v>-67</v>
      </c>
      <c r="C73" s="14" t="n">
        <f aca="false">-(A73-1)</f>
        <v>-66</v>
      </c>
      <c r="D73" s="14" t="str">
        <f aca="false">IF(A73&lt;=6,"Yes","No")</f>
        <v>No</v>
      </c>
      <c r="E73" s="14" t="str">
        <f aca="false">IF(A73=1,"1 h, 3 h, 6 h",IF(A73&lt;=3,"3 h, 6 h",IF(A73&lt;=6,"6 h","-")))</f>
        <v>-</v>
      </c>
      <c r="F73" s="14" t="s">
        <v>38</v>
      </c>
      <c r="G73" s="15" t="n">
        <f aca="false">$B$4+B73/24</f>
        <v>44616.9583333333</v>
      </c>
      <c r="H73" s="15" t="n">
        <f aca="false">$B$4+C73/24</f>
        <v>44617</v>
      </c>
    </row>
    <row r="74" customFormat="false" ht="15" hidden="false" customHeight="false" outlineLevel="0" collapsed="false">
      <c r="A74" s="14" t="n">
        <v>68</v>
      </c>
      <c r="B74" s="14" t="n">
        <f aca="false">-A74</f>
        <v>-68</v>
      </c>
      <c r="C74" s="14" t="n">
        <f aca="false">-(A74-1)</f>
        <v>-67</v>
      </c>
      <c r="D74" s="14" t="str">
        <f aca="false">IF(A74&lt;=6,"Yes","No")</f>
        <v>No</v>
      </c>
      <c r="E74" s="14" t="str">
        <f aca="false">IF(A74=1,"1 h, 3 h, 6 h",IF(A74&lt;=3,"3 h, 6 h",IF(A74&lt;=6,"6 h","-")))</f>
        <v>-</v>
      </c>
      <c r="F74" s="14" t="s">
        <v>38</v>
      </c>
      <c r="G74" s="15" t="n">
        <f aca="false">$B$4+B74/24</f>
        <v>44616.9166666667</v>
      </c>
      <c r="H74" s="15" t="n">
        <f aca="false">$B$4+C74/24</f>
        <v>44616.9583333333</v>
      </c>
    </row>
    <row r="75" customFormat="false" ht="15" hidden="false" customHeight="false" outlineLevel="0" collapsed="false">
      <c r="A75" s="14" t="n">
        <v>69</v>
      </c>
      <c r="B75" s="14" t="n">
        <f aca="false">-A75</f>
        <v>-69</v>
      </c>
      <c r="C75" s="14" t="n">
        <f aca="false">-(A75-1)</f>
        <v>-68</v>
      </c>
      <c r="D75" s="14" t="str">
        <f aca="false">IF(A75&lt;=6,"Yes","No")</f>
        <v>No</v>
      </c>
      <c r="E75" s="14" t="str">
        <f aca="false">IF(A75=1,"1 h, 3 h, 6 h",IF(A75&lt;=3,"3 h, 6 h",IF(A75&lt;=6,"6 h","-")))</f>
        <v>-</v>
      </c>
      <c r="F75" s="14" t="s">
        <v>38</v>
      </c>
      <c r="G75" s="15" t="n">
        <f aca="false">$B$4+B75/24</f>
        <v>44616.875</v>
      </c>
      <c r="H75" s="15" t="n">
        <f aca="false">$B$4+C75/24</f>
        <v>44616.9166666667</v>
      </c>
    </row>
    <row r="76" customFormat="false" ht="15" hidden="false" customHeight="false" outlineLevel="0" collapsed="false">
      <c r="A76" s="14" t="n">
        <v>70</v>
      </c>
      <c r="B76" s="14" t="n">
        <f aca="false">-A76</f>
        <v>-70</v>
      </c>
      <c r="C76" s="14" t="n">
        <f aca="false">-(A76-1)</f>
        <v>-69</v>
      </c>
      <c r="D76" s="14" t="str">
        <f aca="false">IF(A76&lt;=6,"Yes","No")</f>
        <v>No</v>
      </c>
      <c r="E76" s="14" t="str">
        <f aca="false">IF(A76=1,"1 h, 3 h, 6 h",IF(A76&lt;=3,"3 h, 6 h",IF(A76&lt;=6,"6 h","-")))</f>
        <v>-</v>
      </c>
      <c r="F76" s="14" t="s">
        <v>38</v>
      </c>
      <c r="G76" s="15" t="n">
        <f aca="false">$B$4+B76/24</f>
        <v>44616.8333333333</v>
      </c>
      <c r="H76" s="15" t="n">
        <f aca="false">$B$4+C76/24</f>
        <v>44616.875</v>
      </c>
    </row>
    <row r="77" customFormat="false" ht="15" hidden="false" customHeight="false" outlineLevel="0" collapsed="false">
      <c r="A77" s="14" t="n">
        <v>71</v>
      </c>
      <c r="B77" s="14" t="n">
        <f aca="false">-A77</f>
        <v>-71</v>
      </c>
      <c r="C77" s="14" t="n">
        <f aca="false">-(A77-1)</f>
        <v>-70</v>
      </c>
      <c r="D77" s="14" t="str">
        <f aca="false">IF(A77&lt;=6,"Yes","No")</f>
        <v>No</v>
      </c>
      <c r="E77" s="14" t="str">
        <f aca="false">IF(A77=1,"1 h, 3 h, 6 h",IF(A77&lt;=3,"3 h, 6 h",IF(A77&lt;=6,"6 h","-")))</f>
        <v>-</v>
      </c>
      <c r="F77" s="14" t="s">
        <v>38</v>
      </c>
      <c r="G77" s="15" t="n">
        <f aca="false">$B$4+B77/24</f>
        <v>44616.7916666667</v>
      </c>
      <c r="H77" s="15" t="n">
        <f aca="false">$B$4+C77/24</f>
        <v>44616.8333333333</v>
      </c>
    </row>
    <row r="78" customFormat="false" ht="15" hidden="false" customHeight="false" outlineLevel="0" collapsed="false">
      <c r="A78" s="14" t="n">
        <v>72</v>
      </c>
      <c r="B78" s="14" t="n">
        <f aca="false">-A78</f>
        <v>-72</v>
      </c>
      <c r="C78" s="14" t="n">
        <f aca="false">-(A78-1)</f>
        <v>-71</v>
      </c>
      <c r="D78" s="14" t="str">
        <f aca="false">IF(A78&lt;=6,"Yes","No")</f>
        <v>No</v>
      </c>
      <c r="E78" s="14" t="str">
        <f aca="false">IF(A78=1,"1 h, 3 h, 6 h",IF(A78&lt;=3,"3 h, 6 h",IF(A78&lt;=6,"6 h","-")))</f>
        <v>-</v>
      </c>
      <c r="F78" s="14" t="s">
        <v>38</v>
      </c>
      <c r="G78" s="15" t="n">
        <f aca="false">$B$4+B78/24</f>
        <v>44616.75</v>
      </c>
      <c r="H78" s="15" t="n">
        <f aca="false">$B$4+C78/24</f>
        <v>44616.7916666667</v>
      </c>
    </row>
    <row r="80" customFormat="false" ht="15" hidden="false" customHeight="false" outlineLevel="0" collapsed="false">
      <c r="A80" s="16" t="s">
        <v>218</v>
      </c>
    </row>
    <row r="81" customFormat="false" ht="15" hidden="false" customHeight="false" outlineLevel="0" collapsed="false">
      <c r="A81" s="16" t="s">
        <v>219</v>
      </c>
    </row>
    <row r="82" customFormat="false" ht="15" hidden="false" customHeight="false" outlineLevel="0" collapsed="false">
      <c r="A82" s="16" t="s">
        <v>220</v>
      </c>
    </row>
    <row r="83" customFormat="false" ht="15" hidden="false" customHeight="false" outlineLevel="0" collapsed="false">
      <c r="A83" s="16" t="s">
        <v>221</v>
      </c>
    </row>
    <row r="84" customFormat="false" ht="15" hidden="false" customHeight="false" outlineLevel="0" collapsed="false">
      <c r="A84" s="16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6" t="s">
        <v>225</v>
      </c>
      <c r="B4" s="6" t="s">
        <v>102</v>
      </c>
      <c r="C4" s="6" t="s">
        <v>226</v>
      </c>
      <c r="D4" s="6" t="s">
        <v>16</v>
      </c>
    </row>
    <row r="5" customFormat="false" ht="15" hidden="false" customHeight="false" outlineLevel="0" collapsed="false">
      <c r="A5" s="4" t="s">
        <v>187</v>
      </c>
      <c r="B5" s="4" t="s">
        <v>105</v>
      </c>
      <c r="C5" s="4" t="s">
        <v>227</v>
      </c>
      <c r="D5" s="4" t="s">
        <v>170</v>
      </c>
    </row>
    <row r="6" customFormat="false" ht="15" hidden="false" customHeight="false" outlineLevel="0" collapsed="false">
      <c r="A6" s="4" t="s">
        <v>104</v>
      </c>
      <c r="B6" s="4" t="s">
        <v>105</v>
      </c>
      <c r="C6" s="4" t="s">
        <v>228</v>
      </c>
      <c r="D6" s="4" t="s">
        <v>229</v>
      </c>
    </row>
    <row r="7" customFormat="false" ht="23.85" hidden="false" customHeight="false" outlineLevel="0" collapsed="false">
      <c r="A7" s="4" t="s">
        <v>184</v>
      </c>
      <c r="B7" s="4" t="s">
        <v>174</v>
      </c>
      <c r="C7" s="4" t="s">
        <v>230</v>
      </c>
      <c r="D7" s="4" t="s">
        <v>231</v>
      </c>
    </row>
    <row r="8" customFormat="false" ht="15" hidden="false" customHeight="false" outlineLevel="0" collapsed="false">
      <c r="A8" s="4" t="s">
        <v>232</v>
      </c>
      <c r="B8" s="4" t="s">
        <v>233</v>
      </c>
      <c r="C8" s="4" t="s">
        <v>234</v>
      </c>
      <c r="D8" s="4" t="s">
        <v>110</v>
      </c>
    </row>
    <row r="9" customFormat="false" ht="15" hidden="false" customHeight="false" outlineLevel="0" collapsed="false">
      <c r="A9" s="4" t="s">
        <v>235</v>
      </c>
      <c r="B9" s="4" t="s">
        <v>174</v>
      </c>
      <c r="C9" s="4" t="s">
        <v>236</v>
      </c>
      <c r="D9" s="4" t="s">
        <v>110</v>
      </c>
    </row>
    <row r="10" customFormat="false" ht="15" hidden="false" customHeight="false" outlineLevel="0" collapsed="false">
      <c r="A10" s="4" t="s">
        <v>237</v>
      </c>
      <c r="B10" s="4" t="s">
        <v>105</v>
      </c>
      <c r="C10" s="4" t="s">
        <v>238</v>
      </c>
      <c r="D10" s="4" t="s">
        <v>239</v>
      </c>
    </row>
    <row r="11" customFormat="false" ht="15" hidden="false" customHeight="false" outlineLevel="0" collapsed="false">
      <c r="A11" s="4" t="s">
        <v>240</v>
      </c>
      <c r="B11" s="4" t="s">
        <v>127</v>
      </c>
      <c r="C11" s="4" t="s">
        <v>241</v>
      </c>
      <c r="D11" s="4" t="s">
        <v>229</v>
      </c>
    </row>
    <row r="12" customFormat="false" ht="23.85" hidden="false" customHeight="false" outlineLevel="0" collapsed="false">
      <c r="A12" s="4" t="s">
        <v>242</v>
      </c>
      <c r="B12" s="4" t="s">
        <v>243</v>
      </c>
      <c r="C12" s="5" t="s">
        <v>244</v>
      </c>
      <c r="D12" s="4" t="s">
        <v>145</v>
      </c>
    </row>
    <row r="13" customFormat="false" ht="23.85" hidden="false" customHeight="false" outlineLevel="0" collapsed="false">
      <c r="A13" s="4" t="s">
        <v>245</v>
      </c>
      <c r="B13" s="4" t="s">
        <v>243</v>
      </c>
      <c r="C13" s="5" t="s">
        <v>246</v>
      </c>
      <c r="D13" s="4" t="s">
        <v>145</v>
      </c>
    </row>
    <row r="14" customFormat="false" ht="15" hidden="false" customHeight="false" outlineLevel="0" collapsed="false">
      <c r="A14" s="4" t="s">
        <v>247</v>
      </c>
      <c r="B14" s="4" t="s">
        <v>182</v>
      </c>
      <c r="C14" s="5" t="s">
        <v>248</v>
      </c>
      <c r="D14" s="4" t="s">
        <v>249</v>
      </c>
    </row>
    <row r="15" customFormat="false" ht="23.85" hidden="false" customHeight="false" outlineLevel="0" collapsed="false">
      <c r="A15" s="4" t="s">
        <v>250</v>
      </c>
      <c r="B15" s="4" t="s">
        <v>243</v>
      </c>
      <c r="C15" s="4" t="s">
        <v>251</v>
      </c>
      <c r="D15" s="4" t="s">
        <v>249</v>
      </c>
    </row>
    <row r="16" customFormat="false" ht="23.85" hidden="false" customHeight="false" outlineLevel="0" collapsed="false">
      <c r="A16" s="4" t="s">
        <v>252</v>
      </c>
      <c r="B16" s="4" t="s">
        <v>243</v>
      </c>
      <c r="C16" s="4" t="s">
        <v>253</v>
      </c>
      <c r="D16" s="4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6" t="s">
        <v>257</v>
      </c>
      <c r="B4" s="6" t="s">
        <v>258</v>
      </c>
      <c r="C4" s="6" t="s">
        <v>259</v>
      </c>
      <c r="D4" s="6" t="s">
        <v>260</v>
      </c>
    </row>
    <row r="5" customFormat="false" ht="23.85" hidden="false" customHeight="false" outlineLevel="0" collapsed="false">
      <c r="A5" s="4" t="n">
        <v>1</v>
      </c>
      <c r="B5" s="4" t="s">
        <v>261</v>
      </c>
      <c r="C5" s="4" t="s">
        <v>262</v>
      </c>
      <c r="D5" s="4" t="s">
        <v>263</v>
      </c>
    </row>
    <row r="6" customFormat="false" ht="23.85" hidden="false" customHeight="false" outlineLevel="0" collapsed="false">
      <c r="A6" s="4" t="n">
        <v>2</v>
      </c>
      <c r="B6" s="4" t="s">
        <v>264</v>
      </c>
      <c r="C6" s="4" t="s">
        <v>265</v>
      </c>
      <c r="D6" s="4" t="s">
        <v>266</v>
      </c>
    </row>
    <row r="7" customFormat="false" ht="23.85" hidden="false" customHeight="false" outlineLevel="0" collapsed="false">
      <c r="A7" s="4" t="n">
        <v>3</v>
      </c>
      <c r="B7" s="4" t="s">
        <v>267</v>
      </c>
      <c r="C7" s="4" t="s">
        <v>268</v>
      </c>
      <c r="D7" s="4" t="s">
        <v>269</v>
      </c>
    </row>
    <row r="8" customFormat="false" ht="23.85" hidden="false" customHeight="false" outlineLevel="0" collapsed="false">
      <c r="A8" s="4" t="n">
        <v>4</v>
      </c>
      <c r="B8" s="4" t="s">
        <v>270</v>
      </c>
      <c r="C8" s="4" t="s">
        <v>271</v>
      </c>
      <c r="D8" s="4" t="s">
        <v>272</v>
      </c>
    </row>
    <row r="9" customFormat="false" ht="23.85" hidden="false" customHeight="false" outlineLevel="0" collapsed="false">
      <c r="A9" s="4" t="n">
        <v>5</v>
      </c>
      <c r="B9" s="4" t="s">
        <v>273</v>
      </c>
      <c r="C9" s="4" t="s">
        <v>274</v>
      </c>
      <c r="D9" s="4" t="s">
        <v>275</v>
      </c>
    </row>
    <row r="10" customFormat="false" ht="23.85" hidden="false" customHeight="false" outlineLevel="0" collapsed="false">
      <c r="A10" s="4" t="n">
        <v>6</v>
      </c>
      <c r="B10" s="4" t="s">
        <v>276</v>
      </c>
      <c r="C10" s="4" t="s">
        <v>277</v>
      </c>
      <c r="D10" s="4" t="s">
        <v>278</v>
      </c>
    </row>
    <row r="11" customFormat="false" ht="23.85" hidden="false" customHeight="false" outlineLevel="0" collapsed="false">
      <c r="A11" s="4" t="n">
        <v>7</v>
      </c>
      <c r="B11" s="4" t="s">
        <v>279</v>
      </c>
      <c r="C11" s="4" t="s">
        <v>280</v>
      </c>
      <c r="D11" s="4" t="s">
        <v>281</v>
      </c>
    </row>
    <row r="12" customFormat="false" ht="23.85" hidden="false" customHeight="false" outlineLevel="0" collapsed="false">
      <c r="A12" s="4" t="n">
        <v>8</v>
      </c>
      <c r="B12" s="4" t="s">
        <v>282</v>
      </c>
      <c r="C12" s="4" t="s">
        <v>283</v>
      </c>
      <c r="D12" s="4" t="s">
        <v>284</v>
      </c>
    </row>
    <row r="13" customFormat="false" ht="23.85" hidden="false" customHeight="false" outlineLevel="0" collapsed="false">
      <c r="A13" s="4" t="n">
        <v>9</v>
      </c>
      <c r="B13" s="4" t="s">
        <v>285</v>
      </c>
      <c r="C13" s="4" t="s">
        <v>286</v>
      </c>
      <c r="D13" s="4" t="s">
        <v>287</v>
      </c>
    </row>
    <row r="14" customFormat="false" ht="15" hidden="false" customHeight="false" outlineLevel="0" collapsed="false">
      <c r="A14" s="4" t="n">
        <v>10</v>
      </c>
      <c r="B14" s="4" t="s">
        <v>288</v>
      </c>
      <c r="C14" s="4" t="s">
        <v>289</v>
      </c>
      <c r="D14" s="4" t="s">
        <v>290</v>
      </c>
    </row>
    <row r="16" customFormat="false" ht="15" hidden="false" customHeight="false" outlineLevel="0" collapsed="false">
      <c r="A16" s="7" t="s">
        <v>291</v>
      </c>
    </row>
    <row r="17" customFormat="false" ht="15" hidden="false" customHeight="false" outlineLevel="0" collapsed="false">
      <c r="A17" s="6"/>
      <c r="B17" s="6" t="s">
        <v>165</v>
      </c>
      <c r="C17" s="6" t="s">
        <v>292</v>
      </c>
      <c r="D17" s="6" t="s">
        <v>293</v>
      </c>
    </row>
    <row r="18" customFormat="false" ht="15" hidden="false" customHeight="false" outlineLevel="0" collapsed="false">
      <c r="A18" s="4"/>
      <c r="B18" s="4" t="s">
        <v>104</v>
      </c>
      <c r="C18" s="4" t="s">
        <v>294</v>
      </c>
      <c r="D18" s="4" t="s">
        <v>94</v>
      </c>
    </row>
    <row r="19" customFormat="false" ht="15" hidden="false" customHeight="false" outlineLevel="0" collapsed="false">
      <c r="A19" s="4"/>
      <c r="B19" s="4" t="s">
        <v>295</v>
      </c>
      <c r="C19" s="4" t="s">
        <v>296</v>
      </c>
      <c r="D19" s="4" t="s">
        <v>297</v>
      </c>
    </row>
    <row r="20" customFormat="false" ht="15" hidden="false" customHeight="false" outlineLevel="0" collapsed="false">
      <c r="A20" s="4"/>
      <c r="B20" s="4" t="s">
        <v>298</v>
      </c>
      <c r="C20" s="4" t="s">
        <v>299</v>
      </c>
      <c r="D20" s="4" t="s">
        <v>300</v>
      </c>
    </row>
    <row r="21" customFormat="false" ht="23.85" hidden="false" customHeight="false" outlineLevel="0" collapsed="false">
      <c r="A21" s="4"/>
      <c r="B21" s="4" t="s">
        <v>301</v>
      </c>
      <c r="C21" s="4" t="s">
        <v>302</v>
      </c>
      <c r="D21" s="4" t="s">
        <v>303</v>
      </c>
    </row>
    <row r="22" customFormat="false" ht="15" hidden="false" customHeight="false" outlineLevel="0" collapsed="false">
      <c r="A22" s="4"/>
      <c r="B22" s="4" t="s">
        <v>304</v>
      </c>
      <c r="C22" s="4" t="s">
        <v>305</v>
      </c>
      <c r="D22" s="4" t="s">
        <v>306</v>
      </c>
    </row>
    <row r="23" customFormat="false" ht="15" hidden="false" customHeight="false" outlineLevel="0" collapsed="false">
      <c r="A23" s="4"/>
      <c r="B23" s="4" t="s">
        <v>307</v>
      </c>
      <c r="C23" s="4" t="s">
        <v>308</v>
      </c>
      <c r="D23" s="4" t="s">
        <v>309</v>
      </c>
    </row>
    <row r="25" customFormat="false" ht="15" hidden="false" customHeight="false" outlineLevel="0" collapsed="false">
      <c r="A25" s="2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4" customFormat="false" ht="15" hidden="false" customHeight="false" outlineLevel="0" collapsed="false">
      <c r="A4" s="6" t="s">
        <v>257</v>
      </c>
      <c r="B4" s="6" t="s">
        <v>313</v>
      </c>
      <c r="C4" s="6" t="s">
        <v>314</v>
      </c>
      <c r="D4" s="6" t="s">
        <v>315</v>
      </c>
      <c r="E4" s="6" t="s">
        <v>316</v>
      </c>
    </row>
    <row r="5" customFormat="false" ht="23.85" hidden="false" customHeight="false" outlineLevel="0" collapsed="false">
      <c r="A5" s="4" t="n">
        <v>1</v>
      </c>
      <c r="B5" s="4" t="n">
        <v>1</v>
      </c>
      <c r="C5" s="4" t="s">
        <v>317</v>
      </c>
      <c r="D5" s="4" t="s">
        <v>318</v>
      </c>
      <c r="E5" s="4" t="s">
        <v>319</v>
      </c>
    </row>
    <row r="6" customFormat="false" ht="35.05" hidden="false" customHeight="false" outlineLevel="0" collapsed="false">
      <c r="A6" s="4" t="n">
        <v>2</v>
      </c>
      <c r="B6" s="4" t="n">
        <v>1</v>
      </c>
      <c r="C6" s="4" t="s">
        <v>320</v>
      </c>
      <c r="D6" s="4" t="s">
        <v>321</v>
      </c>
      <c r="E6" s="4" t="s">
        <v>322</v>
      </c>
    </row>
    <row r="7" customFormat="false" ht="23.85" hidden="false" customHeight="false" outlineLevel="0" collapsed="false">
      <c r="A7" s="4" t="n">
        <v>3</v>
      </c>
      <c r="B7" s="4" t="n">
        <v>1</v>
      </c>
      <c r="C7" s="4" t="s">
        <v>323</v>
      </c>
      <c r="D7" s="4" t="s">
        <v>324</v>
      </c>
      <c r="E7" s="4" t="s">
        <v>325</v>
      </c>
    </row>
    <row r="8" customFormat="false" ht="23.85" hidden="false" customHeight="false" outlineLevel="0" collapsed="false">
      <c r="A8" s="4" t="n">
        <v>4</v>
      </c>
      <c r="B8" s="4" t="s">
        <v>326</v>
      </c>
      <c r="C8" s="4" t="s">
        <v>327</v>
      </c>
      <c r="D8" s="4" t="s">
        <v>328</v>
      </c>
      <c r="E8" s="4" t="s">
        <v>329</v>
      </c>
    </row>
    <row r="9" customFormat="false" ht="15" hidden="false" customHeight="false" outlineLevel="0" collapsed="false">
      <c r="A9" s="4" t="n">
        <v>5</v>
      </c>
      <c r="B9" s="4" t="s">
        <v>326</v>
      </c>
      <c r="C9" s="4" t="s">
        <v>330</v>
      </c>
      <c r="D9" s="4" t="s">
        <v>321</v>
      </c>
      <c r="E9" s="4" t="s">
        <v>331</v>
      </c>
    </row>
    <row r="10" customFormat="false" ht="23.85" hidden="false" customHeight="false" outlineLevel="0" collapsed="false">
      <c r="A10" s="4" t="n">
        <v>6</v>
      </c>
      <c r="B10" s="4" t="n">
        <v>2</v>
      </c>
      <c r="C10" s="4" t="s">
        <v>332</v>
      </c>
      <c r="D10" s="4" t="s">
        <v>333</v>
      </c>
      <c r="E10" s="4" t="s">
        <v>334</v>
      </c>
    </row>
    <row r="11" customFormat="false" ht="23.85" hidden="false" customHeight="false" outlineLevel="0" collapsed="false">
      <c r="A11" s="4" t="n">
        <v>7</v>
      </c>
      <c r="B11" s="4" t="n">
        <v>2</v>
      </c>
      <c r="C11" s="4" t="s">
        <v>335</v>
      </c>
      <c r="D11" s="4" t="s">
        <v>324</v>
      </c>
      <c r="E11" s="4" t="s">
        <v>336</v>
      </c>
    </row>
    <row r="12" customFormat="false" ht="23.85" hidden="false" customHeight="false" outlineLevel="0" collapsed="false">
      <c r="A12" s="4" t="n">
        <v>8</v>
      </c>
      <c r="B12" s="4" t="s">
        <v>337</v>
      </c>
      <c r="C12" s="4" t="s">
        <v>338</v>
      </c>
      <c r="D12" s="4" t="s">
        <v>339</v>
      </c>
      <c r="E12" s="4" t="s">
        <v>340</v>
      </c>
    </row>
    <row r="13" customFormat="false" ht="15" hidden="false" customHeight="false" outlineLevel="0" collapsed="false">
      <c r="A13" s="4" t="n">
        <v>9</v>
      </c>
      <c r="B13" s="4" t="n">
        <v>3</v>
      </c>
      <c r="C13" s="4" t="s">
        <v>341</v>
      </c>
      <c r="D13" s="4" t="s">
        <v>318</v>
      </c>
      <c r="E13" s="4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343</v>
      </c>
    </row>
    <row r="2" customFormat="false" ht="15" hidden="false" customHeight="false" outlineLevel="0" collapsed="false">
      <c r="A2" s="2" t="s">
        <v>344</v>
      </c>
    </row>
    <row r="4" customFormat="false" ht="15" hidden="false" customHeight="false" outlineLevel="0" collapsed="false">
      <c r="A4" s="6" t="s">
        <v>345</v>
      </c>
      <c r="B4" s="6" t="s">
        <v>346</v>
      </c>
      <c r="C4" s="6" t="s">
        <v>315</v>
      </c>
      <c r="D4" s="17" t="s">
        <v>347</v>
      </c>
    </row>
    <row r="5" customFormat="false" ht="23.85" hidden="false" customHeight="false" outlineLevel="0" collapsed="false">
      <c r="A5" s="4" t="n">
        <v>1</v>
      </c>
      <c r="B5" s="4" t="s">
        <v>348</v>
      </c>
      <c r="C5" s="4" t="s">
        <v>321</v>
      </c>
      <c r="D5" s="5"/>
    </row>
    <row r="6" customFormat="false" ht="15" hidden="false" customHeight="false" outlineLevel="0" collapsed="false">
      <c r="A6" s="4" t="n">
        <v>2</v>
      </c>
      <c r="B6" s="4" t="s">
        <v>349</v>
      </c>
      <c r="C6" s="4" t="s">
        <v>321</v>
      </c>
      <c r="D6" s="5"/>
    </row>
    <row r="7" customFormat="false" ht="15" hidden="false" customHeight="false" outlineLevel="0" collapsed="false">
      <c r="A7" s="4" t="n">
        <v>3</v>
      </c>
      <c r="B7" s="4" t="s">
        <v>350</v>
      </c>
      <c r="C7" s="4" t="s">
        <v>321</v>
      </c>
      <c r="D7" s="5"/>
    </row>
    <row r="8" customFormat="false" ht="15" hidden="false" customHeight="false" outlineLevel="0" collapsed="false">
      <c r="A8" s="4" t="n">
        <v>4</v>
      </c>
      <c r="B8" s="4" t="s">
        <v>351</v>
      </c>
      <c r="C8" s="4" t="s">
        <v>321</v>
      </c>
      <c r="D8" s="5"/>
    </row>
    <row r="9" customFormat="false" ht="15" hidden="false" customHeight="false" outlineLevel="0" collapsed="false">
      <c r="A9" s="4" t="n">
        <v>5</v>
      </c>
      <c r="B9" s="4" t="s">
        <v>352</v>
      </c>
      <c r="C9" s="4" t="s">
        <v>324</v>
      </c>
      <c r="D9" s="5"/>
    </row>
    <row r="10" customFormat="false" ht="23.85" hidden="false" customHeight="false" outlineLevel="0" collapsed="false">
      <c r="A10" s="4" t="n">
        <v>6</v>
      </c>
      <c r="B10" s="4" t="s">
        <v>353</v>
      </c>
      <c r="C10" s="4" t="s">
        <v>328</v>
      </c>
      <c r="D10" s="5"/>
    </row>
    <row r="11" customFormat="false" ht="15" hidden="false" customHeight="false" outlineLevel="0" collapsed="false">
      <c r="A11" s="4" t="n">
        <v>7</v>
      </c>
      <c r="B11" s="4" t="s">
        <v>354</v>
      </c>
      <c r="C11" s="4" t="s">
        <v>355</v>
      </c>
      <c r="D11" s="5"/>
    </row>
    <row r="12" customFormat="false" ht="23.85" hidden="false" customHeight="false" outlineLevel="0" collapsed="false">
      <c r="A12" s="4" t="n">
        <v>8</v>
      </c>
      <c r="B12" s="4" t="s">
        <v>356</v>
      </c>
      <c r="C12" s="4" t="s">
        <v>318</v>
      </c>
      <c r="D12" s="5"/>
    </row>
    <row r="13" customFormat="false" ht="15" hidden="false" customHeight="false" outlineLevel="0" collapsed="false">
      <c r="A13" s="4" t="n">
        <v>9</v>
      </c>
      <c r="B13" s="4" t="s">
        <v>357</v>
      </c>
      <c r="C13" s="4" t="s">
        <v>321</v>
      </c>
      <c r="D13" s="5"/>
    </row>
    <row r="14" customFormat="false" ht="23.85" hidden="false" customHeight="false" outlineLevel="0" collapsed="false">
      <c r="A14" s="4" t="n">
        <v>10</v>
      </c>
      <c r="B14" s="4" t="s">
        <v>358</v>
      </c>
      <c r="C14" s="4" t="s">
        <v>324</v>
      </c>
      <c r="D14" s="5"/>
    </row>
    <row r="15" customFormat="false" ht="15" hidden="false" customHeight="false" outlineLevel="0" collapsed="false">
      <c r="A15" s="4" t="n">
        <v>11</v>
      </c>
      <c r="B15" s="4" t="s">
        <v>359</v>
      </c>
      <c r="C15" s="4" t="s">
        <v>321</v>
      </c>
      <c r="D1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2026-10-17T05:30:39Z</dcterms:created>
  <dc:creator>openpyxl</dc:creator>
  <dc:description/>
  <dc:language>en-US</dc:language>
  <cp:lastModifiedBy/>
  <dcterms:modified xsi:type="dcterms:W3CDTF">2026-10-17T05:30:39Z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